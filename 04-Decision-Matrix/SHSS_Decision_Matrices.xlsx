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Motion Sensors" sheetId="2" state="visible" r:id="rId2"/>
    <sheet xmlns:r="http://schemas.openxmlformats.org/officeDocument/2006/relationships" name="Door-Window Sensors" sheetId="3" state="visible" r:id="rId3"/>
    <sheet xmlns:r="http://schemas.openxmlformats.org/officeDocument/2006/relationships" name="Water Leak Sensors" sheetId="4" state="visible" r:id="rId4"/>
    <sheet xmlns:r="http://schemas.openxmlformats.org/officeDocument/2006/relationships" name="Cameras" sheetId="5" state="visible" r:id="rId5"/>
    <sheet xmlns:r="http://schemas.openxmlformats.org/officeDocument/2006/relationships" name="Controllers - Smart Lock" sheetId="6" state="visible" r:id="rId6"/>
    <sheet xmlns:r="http://schemas.openxmlformats.org/officeDocument/2006/relationships" name="Controllers - Lighting" sheetId="7" state="visible" r:id="rId7"/>
    <sheet xmlns:r="http://schemas.openxmlformats.org/officeDocument/2006/relationships" name="Controllers - Siren" sheetId="8" state="visible" r:id="rId8"/>
    <sheet xmlns:r="http://schemas.openxmlformats.org/officeDocument/2006/relationships" name="Server - Local vs Cloud" sheetId="9" state="visible" r:id="rId9"/>
  </sheets>
  <definedNames>
    <definedName name="_xlnm.Print_Area" localSheetId="1">'Motion Sensors'!$A$1:$K$14</definedName>
    <definedName name="_xlnm.Print_Area" localSheetId="2">'Door-Window Sensors'!$A$1:$K$14</definedName>
    <definedName name="_xlnm.Print_Area" localSheetId="3">'Water Leak Sensors'!$A$1:$K$14</definedName>
    <definedName name="_xlnm.Print_Area" localSheetId="4">'Cameras'!$A$1:$M$14</definedName>
    <definedName name="_xlnm.Print_Area" localSheetId="5">'Controllers - Smart Lock'!$A$1:$K$14</definedName>
    <definedName name="_xlnm.Print_Area" localSheetId="6">'Controllers - Lighting'!$A$1:$K$14</definedName>
    <definedName name="_xlnm.Print_Area" localSheetId="7">'Controllers - Siren'!$A$1:$J$14</definedName>
    <definedName name="_xlnm.Print_Area" localSheetId="8">'Server - Local vs Cloud'!$A$1:$M$14</definedName>
  </definedNames>
  <calcPr calcId="124519" fullCalcOnLoad="1"/>
</workbook>
</file>

<file path=xl/styles.xml><?xml version="1.0" encoding="utf-8"?>
<styleSheet xmlns="http://schemas.openxmlformats.org/spreadsheetml/2006/main">
  <numFmts count="1">
    <numFmt numFmtId="164" formatCode="0&quot;%&quot;"/>
  </numFmts>
  <fonts count="11">
    <font>
      <name val="Arial"/>
      <color rgb="FF000000"/>
      <sz val="10"/>
      <scheme val="minor"/>
    </font>
    <font>
      <name val="Arial"/>
      <color theme="1"/>
      <scheme val="minor"/>
    </font>
    <font>
      <name val="Arial"/>
      <b val="1"/>
      <color theme="1"/>
      <sz val="14"/>
      <scheme val="minor"/>
    </font>
    <font/>
    <font>
      <name val="Arial"/>
      <color theme="1"/>
      <sz val="11"/>
      <scheme val="minor"/>
    </font>
    <font>
      <name val="Arial"/>
      <b val="1"/>
      <color theme="1"/>
      <sz val="11"/>
      <scheme val="minor"/>
    </font>
    <font>
      <name val="Arial"/>
      <b val="1"/>
      <color theme="1"/>
      <scheme val="minor"/>
    </font>
    <font>
      <name val="Arial"/>
      <i val="1"/>
      <sz val="10"/>
    </font>
    <font>
      <name val="Arial"/>
      <b val="1"/>
      <sz val="11"/>
    </font>
    <font>
      <name val="Arial"/>
      <sz val="11"/>
    </font>
    <font>
      <name val="Arial"/>
      <b val="1"/>
      <sz val="14"/>
    </font>
  </fonts>
  <fills count="4">
    <fill>
      <patternFill/>
    </fill>
    <fill>
      <patternFill patternType="lightGray"/>
    </fill>
    <fill>
      <patternFill patternType="solid">
        <fgColor rgb="FF9FC5E8"/>
        <bgColor rgb="FF9FC5E8"/>
      </patternFill>
    </fill>
    <fill>
      <patternFill patternType="solid">
        <fgColor rgb="FFD9EAD3"/>
        <bgColor rgb="FFD9EAD3"/>
      </patternFill>
    </fill>
  </fills>
  <borders count="18">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rder>
    <border>
      <left style="thick">
        <color rgb="FF000000"/>
      </left>
      <right style="thick">
        <color rgb="FFFFFFFF"/>
      </right>
      <top style="thick">
        <color rgb="FF000000"/>
      </top>
      <bottom style="thick">
        <color rgb="FFFFFFFF"/>
      </bottom>
    </border>
    <border>
      <left style="thick">
        <color rgb="FFFFFFFF"/>
      </left>
      <right style="thick">
        <color rgb="FFFFFFFF"/>
      </right>
      <top style="thick">
        <color rgb="FF000000"/>
      </top>
      <bottom style="thick">
        <color rgb="FFFFFFFF"/>
      </bottom>
    </border>
    <border>
      <left style="thick">
        <color rgb="FFFFFFFF"/>
      </left>
      <right style="thick">
        <color rgb="FF000000"/>
      </right>
      <top style="thick">
        <color rgb="FF000000"/>
      </top>
      <bottom style="thick">
        <color rgb="FFFFFFFF"/>
      </bottom>
    </border>
    <border>
      <left style="thick">
        <color rgb="FF000000"/>
      </left>
      <right style="thick">
        <color rgb="FFFFFFFF"/>
      </right>
      <top style="thick">
        <color rgb="FFFFFFFF"/>
      </top>
      <bottom style="thick">
        <color rgb="FFFFFFFF"/>
      </bottom>
    </border>
    <border>
      <left style="thick">
        <color rgb="FFFFFFFF"/>
      </left>
      <right style="thick">
        <color rgb="FFFFFFFF"/>
      </right>
      <top style="thick">
        <color rgb="FFFFFFFF"/>
      </top>
      <bottom style="thick">
        <color rgb="FFFFFFFF"/>
      </bottom>
    </border>
    <border>
      <left style="thick">
        <color rgb="FFFFFFFF"/>
      </left>
      <right style="thick">
        <color rgb="FF000000"/>
      </right>
      <top style="thick">
        <color rgb="FFFFFFFF"/>
      </top>
      <bottom style="thick">
        <color rgb="FFFFFFFF"/>
      </bottom>
    </border>
    <border>
      <left style="thick">
        <color rgb="FF000000"/>
      </left>
      <right style="thick">
        <color rgb="FFFFFFFF"/>
      </right>
      <top style="thick">
        <color rgb="FFFFFFFF"/>
      </top>
      <bottom style="thick">
        <color rgb="FF000000"/>
      </bottom>
    </border>
    <border>
      <left style="thick">
        <color rgb="FFFFFFFF"/>
      </left>
      <right style="thick">
        <color rgb="FFFFFFFF"/>
      </right>
      <top style="thick">
        <color rgb="FFFFFFFF"/>
      </top>
      <bottom style="thick">
        <color rgb="FF000000"/>
      </bottom>
    </border>
    <border>
      <left style="thick">
        <color rgb="FFFFFFFF"/>
      </left>
      <right style="thick">
        <color rgb="FF000000"/>
      </right>
      <top style="thick">
        <color rgb="FFFFFFFF"/>
      </top>
      <bottom style="thick">
        <color rgb="FF000000"/>
      </bottom>
    </border>
    <border>
      <left style="thin">
        <color rgb="FFFFFFFF"/>
      </left>
      <right style="thin">
        <color rgb="FFFFFFFF"/>
      </right>
      <bottom style="thin">
        <color rgb="FFFFFFFF"/>
      </bottom>
    </border>
    <border>
      <top style="thin">
        <color rgb="FFFFFFFF"/>
      </top>
    </border>
    <border>
      <right style="thin">
        <color rgb="FFFFFFFF"/>
      </right>
      <top style="thin">
        <color rgb="FFFFFFFF"/>
      </top>
    </border>
  </borders>
  <cellStyleXfs count="1">
    <xf numFmtId="0" fontId="0" fillId="0" borderId="0"/>
  </cellStyleXfs>
  <cellXfs count="37">
    <xf numFmtId="0" fontId="0" fillId="0" borderId="0" applyAlignment="1" pivotButton="0" quotePrefix="0" xfId="0">
      <alignment vertical="bottom"/>
    </xf>
    <xf numFmtId="0" fontId="1" fillId="0" borderId="1" pivotButton="0" quotePrefix="0" xfId="0"/>
    <xf numFmtId="0" fontId="1" fillId="0" borderId="1" pivotButton="0" quotePrefix="0" xfId="0"/>
    <xf numFmtId="0" fontId="2" fillId="0" borderId="2" applyAlignment="1" pivotButton="0" quotePrefix="0" xfId="0">
      <alignment horizontal="center"/>
    </xf>
    <xf numFmtId="0" fontId="3" fillId="0" borderId="3" pivotButton="0" quotePrefix="0" xfId="0"/>
    <xf numFmtId="0" fontId="3" fillId="0" borderId="4" pivotButton="0" quotePrefix="0" xfId="0"/>
    <xf numFmtId="0" fontId="1" fillId="0" borderId="5" pivotButton="0" quotePrefix="0" xfId="0"/>
    <xf numFmtId="0" fontId="1" fillId="0" borderId="2" pivotButton="0" quotePrefix="0" xfId="0"/>
    <xf numFmtId="0" fontId="4" fillId="0" borderId="6" applyAlignment="1" pivotButton="0" quotePrefix="0" xfId="0">
      <alignment horizontal="center" vertical="center"/>
    </xf>
    <xf numFmtId="0" fontId="5" fillId="2" borderId="7" applyAlignment="1" pivotButton="0" quotePrefix="0" xfId="0">
      <alignment horizontal="center" vertical="center"/>
    </xf>
    <xf numFmtId="0" fontId="5" fillId="2" borderId="8" applyAlignment="1" pivotButton="0" quotePrefix="0" xfId="0">
      <alignment horizontal="center" vertical="center"/>
    </xf>
    <xf numFmtId="0" fontId="1" fillId="0" borderId="4" pivotButton="0" quotePrefix="0" xfId="0"/>
    <xf numFmtId="0" fontId="5" fillId="2" borderId="9" applyAlignment="1" pivotButton="0" quotePrefix="0" xfId="0">
      <alignment horizontal="center" vertical="center"/>
    </xf>
    <xf numFmtId="0" fontId="4" fillId="0" borderId="10" applyAlignment="1" pivotButton="0" quotePrefix="0" xfId="0">
      <alignment horizontal="center" vertical="center" wrapText="1"/>
    </xf>
    <xf numFmtId="0" fontId="4" fillId="3" borderId="11" applyAlignment="1" pivotButton="0" quotePrefix="0" xfId="0">
      <alignment horizontal="center" vertical="center" wrapText="1"/>
    </xf>
    <xf numFmtId="0" fontId="5" fillId="2" borderId="12" applyAlignment="1" pivotButton="0" quotePrefix="0" xfId="0">
      <alignment horizontal="center" vertical="center"/>
    </xf>
    <xf numFmtId="0" fontId="4" fillId="0" borderId="13" applyAlignment="1" pivotButton="0" quotePrefix="0" xfId="0">
      <alignment horizontal="center" vertical="center" wrapText="1"/>
    </xf>
    <xf numFmtId="0" fontId="4" fillId="3" borderId="14" applyAlignment="1" pivotButton="0" quotePrefix="0" xfId="0">
      <alignment horizontal="center" vertical="center" wrapText="1"/>
    </xf>
    <xf numFmtId="0" fontId="1" fillId="0" borderId="15" pivotButton="0" quotePrefix="0" xfId="0"/>
    <xf numFmtId="0" fontId="6" fillId="0" borderId="1" pivotButton="0" quotePrefix="0" xfId="0"/>
    <xf numFmtId="0" fontId="0" fillId="0" borderId="0" pivotButton="0" quotePrefix="0" xfId="0"/>
    <xf numFmtId="0" fontId="10" fillId="0" borderId="0" applyAlignment="1" pivotButton="0" quotePrefix="0" xfId="0">
      <alignment vertical="top"/>
    </xf>
    <xf numFmtId="0" fontId="9" fillId="0" borderId="0" applyAlignment="1" pivotButton="0" quotePrefix="0" xfId="0">
      <alignment vertical="top" wrapText="1"/>
    </xf>
    <xf numFmtId="0" fontId="9" fillId="0" borderId="0" applyAlignment="1" pivotButton="0" quotePrefix="0" xfId="0">
      <alignment vertical="top"/>
    </xf>
    <xf numFmtId="0" fontId="8" fillId="0" borderId="0" applyAlignment="1" pivotButton="0" quotePrefix="0" xfId="0">
      <alignment vertical="top"/>
    </xf>
    <xf numFmtId="0" fontId="2" fillId="0" borderId="1" applyAlignment="1" pivotButton="0" quotePrefix="0" xfId="0">
      <alignment horizontal="center" vertical="center"/>
    </xf>
    <xf numFmtId="0" fontId="0" fillId="0" borderId="3" pivotButton="0" quotePrefix="0" xfId="0"/>
    <xf numFmtId="0" fontId="0" fillId="0" borderId="4" pivotButton="0" quotePrefix="0" xfId="0"/>
    <xf numFmtId="0" fontId="7" fillId="0" borderId="5" applyAlignment="1" pivotButton="0" quotePrefix="0" xfId="0">
      <alignment horizontal="right"/>
    </xf>
    <xf numFmtId="164" fontId="7" fillId="0" borderId="5" applyAlignment="1" pivotButton="0" quotePrefix="0" xfId="0">
      <alignment horizontal="center"/>
    </xf>
    <xf numFmtId="0" fontId="5" fillId="2" borderId="7" applyAlignment="1" pivotButton="0" quotePrefix="0" xfId="0">
      <alignment horizontal="center" vertical="center" wrapText="1"/>
    </xf>
    <xf numFmtId="0" fontId="5" fillId="2" borderId="9" applyAlignment="1" pivotButton="0" quotePrefix="0" xfId="0">
      <alignment horizontal="center" vertical="center" wrapText="1"/>
    </xf>
    <xf numFmtId="2" fontId="8" fillId="3" borderId="11" applyAlignment="1" pivotButton="0" quotePrefix="0" xfId="0">
      <alignment horizontal="center" vertical="center" wrapText="1"/>
    </xf>
    <xf numFmtId="2" fontId="4" fillId="3" borderId="11" applyAlignment="1" pivotButton="0" quotePrefix="0" xfId="0">
      <alignment horizontal="center" vertical="center" wrapText="1"/>
    </xf>
    <xf numFmtId="0" fontId="6" fillId="0" borderId="1" applyAlignment="1" pivotButton="0" quotePrefix="0" xfId="0">
      <alignment vertical="top"/>
    </xf>
    <xf numFmtId="0" fontId="1" fillId="0" borderId="1" applyAlignment="1" pivotButton="0" quotePrefix="0" xfId="0">
      <alignment vertical="top" wrapText="1"/>
    </xf>
    <xf numFmtId="164" fontId="7" fillId="0" borderId="1"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fitToPage="1"/>
  </sheetPr>
  <dimension ref="A1:B16"/>
  <sheetViews>
    <sheetView workbookViewId="0">
      <selection activeCell="A1" sqref="A1"/>
    </sheetView>
  </sheetViews>
  <sheetFormatPr baseColWidth="8" defaultRowHeight="15"/>
  <cols>
    <col width="28" customWidth="1" style="20" min="1" max="1"/>
    <col width="110" customWidth="1" style="20" min="2" max="2"/>
  </cols>
  <sheetData>
    <row r="1">
      <c r="A1" s="21" t="inlineStr">
        <is>
          <t>SHSS – Trade-off Evaluation Decision Matrices</t>
        </is>
      </c>
      <c r="B1" s="22" t="inlineStr"/>
    </row>
    <row r="2">
      <c r="A2" s="23" t="inlineStr"/>
      <c r="B2" s="22" t="inlineStr"/>
    </row>
    <row r="3">
      <c r="A3" s="24" t="inlineStr">
        <is>
          <t>Scoring scale</t>
        </is>
      </c>
      <c r="B3" s="22" t="inlineStr">
        <is>
          <t>Each alternative is scored on every criterion with an integer from 1 (worst) to 5 (best).</t>
        </is>
      </c>
    </row>
    <row r="4" ht="48" customHeight="1" s="20">
      <c r="A4" s="24" t="inlineStr">
        <is>
          <t>Weighting method</t>
        </is>
      </c>
      <c r="B4" s="22" t="inlineStr">
        <is>
          <t>Each criterion carries a weight in % (row 5 of every matrix; weights sum to 100 per matrix). Total Score = SUMPRODUCT(scores, weights) / 100, i.e. a weighted average on the 1–5 scale (max 5.00). The alternative with the highest Total Score is selected; the justification is in the 'Final decision' cell.</t>
        </is>
      </c>
    </row>
    <row r="5">
      <c r="A5" s="24" t="inlineStr">
        <is>
          <t>Template</t>
        </is>
      </c>
      <c r="B5" s="22" t="inlineStr">
        <is>
          <t>Udacity Decision Matrix template; one tab per trade-off, same layout on every tab.</t>
        </is>
      </c>
    </row>
    <row r="6" ht="60" customHeight="1" s="20">
      <c r="A6" s="24" t="inlineStr">
        <is>
          <t>How I scored</t>
        </is>
      </c>
      <c r="B6" s="22" t="inlineStr">
        <is>
          <t>The scores are my own judgement from data sheets, product reviews and, for a few of the devices, hands-on use. I filled in the weights first and the scores afterwards so that the weighting could not be tuned towards a favourite option. Where two options were close I say so in the final-decision text instead of pretending the numbers settle it.</t>
        </is>
      </c>
    </row>
    <row r="7">
      <c r="A7" s="23" t="inlineStr"/>
      <c r="B7" s="22" t="inlineStr"/>
    </row>
    <row r="8">
      <c r="A8" s="24" t="inlineStr">
        <is>
          <t>Matrix (tab)</t>
        </is>
      </c>
      <c r="B8" s="22" t="inlineStr">
        <is>
          <t>Selected alternative (Total Score)</t>
        </is>
      </c>
    </row>
    <row r="9">
      <c r="A9" s="23" t="inlineStr">
        <is>
          <t>Motion Sensors</t>
        </is>
      </c>
      <c r="B9" s="22" t="inlineStr">
        <is>
          <t>PIR motion sensor, Zigbee 3.0, pet-immune (4.40)</t>
        </is>
      </c>
    </row>
    <row r="10">
      <c r="A10" s="23" t="inlineStr">
        <is>
          <t>Door-Window Sensors</t>
        </is>
      </c>
      <c r="B10" s="22" t="inlineStr">
        <is>
          <t>Magnetic reed contact sensor, Zigbee 3.0 (4.65)</t>
        </is>
      </c>
    </row>
    <row r="11">
      <c r="A11" s="23" t="inlineStr">
        <is>
          <t>Water Leak Sensors</t>
        </is>
      </c>
      <c r="B11" s="22" t="inlineStr">
        <is>
          <t>Zigbee spot leak sensor with probe cable (4.75)</t>
        </is>
      </c>
    </row>
    <row r="12">
      <c r="A12" s="23" t="inlineStr">
        <is>
          <t>Cameras</t>
        </is>
      </c>
      <c r="B12" s="22" t="inlineStr">
        <is>
          <t>PoE wired IP camera (ONVIF/RTSP) (4.30)</t>
        </is>
      </c>
    </row>
    <row r="13">
      <c r="A13" s="23" t="inlineStr">
        <is>
          <t>Controllers - Smart Lock</t>
        </is>
      </c>
      <c r="B13" s="22" t="inlineStr">
        <is>
          <t>Zigbee smart lock (4.35)</t>
        </is>
      </c>
    </row>
    <row r="14">
      <c r="A14" s="23" t="inlineStr">
        <is>
          <t>Controllers - Lighting</t>
        </is>
      </c>
      <c r="B14" s="22" t="inlineStr">
        <is>
          <t>Zigbee smart bulb / switch (4.85)</t>
        </is>
      </c>
    </row>
    <row r="15">
      <c r="A15" s="23" t="inlineStr">
        <is>
          <t>Controllers - Siren</t>
        </is>
      </c>
      <c r="B15" s="22" t="inlineStr">
        <is>
          <t>Wired 12 V siren on CCU relay output (4.20)</t>
        </is>
      </c>
    </row>
    <row r="16">
      <c r="A16" s="23" t="inlineStr">
        <is>
          <t>Server - Local vs Cloud</t>
        </is>
      </c>
      <c r="B16" s="22" t="inlineStr">
        <is>
          <t>Hybrid: local-first server + cloud relay (remote access, push, backup) (3.95)</t>
        </is>
      </c>
    </row>
  </sheetData>
  <pageMargins left="0.75" right="0.75" top="1" bottom="1" header="0.5" footer="0.5"/>
  <pageSetup orientation="landscape" fitToHeight="1" fitToWidth="1"/>
</worksheet>
</file>

<file path=xl/worksheets/sheet2.xml><?xml version="1.0" encoding="utf-8"?>
<worksheet xmlns="http://schemas.openxmlformats.org/spreadsheetml/2006/main">
  <sheetPr>
    <outlinePr summaryBelow="0" summaryRight="0"/>
    <pageSetUpPr fitToPage="1"/>
  </sheetPr>
  <dimension ref="A1:AA50"/>
  <sheetViews>
    <sheetView workbookViewId="0">
      <selection activeCell="A1" sqref="A1"/>
    </sheetView>
  </sheetViews>
  <sheetFormatPr baseColWidth="8" defaultColWidth="12.63" defaultRowHeight="15.75" customHeight="1"/>
  <cols>
    <col width="16.13" customWidth="1" style="20" min="1" max="1"/>
    <col width="30" customWidth="1" style="20" min="2" max="2"/>
    <col width="17" customWidth="1" style="20" min="3" max="3"/>
    <col width="17" customWidth="1" style="20" min="4" max="10"/>
    <col width="17" customWidth="1" style="20" min="5" max="5"/>
    <col width="17" customWidth="1" style="20" min="6" max="6"/>
    <col width="17" customWidth="1" style="20" min="7" max="7"/>
    <col width="17" customWidth="1" style="20" min="8" max="8"/>
    <col width="17" customWidth="1" style="20" min="9" max="9"/>
  </cols>
  <sheetData>
    <row r="1" ht="29.25" customHeight="1" s="20">
      <c r="A1" s="2" t="n"/>
      <c r="B1" s="2" t="n"/>
      <c r="C1" s="2" t="n"/>
      <c r="D1" s="2" t="n"/>
      <c r="E1" s="2" t="n"/>
      <c r="F1" s="2" t="n"/>
      <c r="G1" s="2" t="n"/>
      <c r="H1" s="2" t="n"/>
      <c r="I1" s="2" t="n"/>
      <c r="J1" s="2" t="n"/>
      <c r="K1" s="2" t="n"/>
      <c r="L1" s="2" t="n"/>
      <c r="M1" s="2" t="n"/>
      <c r="N1" s="2" t="n"/>
      <c r="O1" s="2" t="n"/>
      <c r="P1" s="2" t="n"/>
      <c r="Q1" s="2" t="n"/>
    </row>
    <row r="2" ht="17.25" customHeight="1" s="20">
      <c r="A2" s="2" t="n"/>
      <c r="B2" s="2" t="inlineStr">
        <is>
          <t>Scores: 1 (worst) – 5 (best). Weighted total = Σ score × weight / 100 (max 5.00)</t>
        </is>
      </c>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c r="A4" s="2" t="n"/>
      <c r="B4" s="25" t="inlineStr">
        <is>
          <t>Decision Matrix for Motion Sensors</t>
        </is>
      </c>
      <c r="C4" s="26" t="n"/>
      <c r="D4" s="26" t="n"/>
      <c r="E4" s="26" t="n"/>
      <c r="F4" s="26" t="n"/>
      <c r="G4" s="26" t="n"/>
      <c r="H4" s="26" t="n"/>
      <c r="I4" s="26" t="n"/>
      <c r="J4" s="27" t="n"/>
      <c r="K4" s="2" t="n"/>
      <c r="L4" s="2" t="n"/>
      <c r="M4" s="2" t="n"/>
      <c r="N4" s="2" t="n"/>
      <c r="O4" s="2" t="n"/>
      <c r="P4" s="2" t="n"/>
      <c r="Q4" s="2" t="n"/>
    </row>
    <row r="5">
      <c r="A5" s="2" t="n"/>
      <c r="B5" s="28" t="inlineStr">
        <is>
          <t>Weight %</t>
        </is>
      </c>
      <c r="C5" s="29" t="n">
        <v>20</v>
      </c>
      <c r="D5" s="29" t="n">
        <v>20</v>
      </c>
      <c r="E5" s="29" t="n">
        <v>15</v>
      </c>
      <c r="F5" s="29" t="n">
        <v>15</v>
      </c>
      <c r="G5" s="29" t="n">
        <v>15</v>
      </c>
      <c r="H5" s="29" t="n">
        <v>5</v>
      </c>
      <c r="I5" s="29" t="n">
        <v>10</v>
      </c>
      <c r="J5" s="6" t="n"/>
      <c r="K5" s="2" t="n"/>
      <c r="L5" s="2" t="n"/>
      <c r="M5" s="2" t="n"/>
      <c r="N5" s="2" t="n"/>
      <c r="O5" s="2" t="n"/>
      <c r="P5" s="2" t="n"/>
      <c r="Q5" s="2" t="n"/>
    </row>
    <row r="6" ht="80" customHeight="1" s="20">
      <c r="A6" s="7" t="n"/>
      <c r="B6" s="8" t="inlineStr">
        <is>
          <t>Alternatives</t>
        </is>
      </c>
      <c r="C6" s="30" t="inlineStr">
        <is>
          <t>Detection accuracy
[20%]</t>
        </is>
      </c>
      <c r="D6" s="30" t="inlineStr">
        <is>
          <t>False-alarm immunity (pets/HVAC)
[20%]</t>
        </is>
      </c>
      <c r="E6" s="30" t="inlineStr">
        <is>
          <t>Battery life
[15%]</t>
        </is>
      </c>
      <c r="F6" s="30" t="inlineStr">
        <is>
          <t>Unit cost
[15%]</t>
        </is>
      </c>
      <c r="G6" s="30" t="inlineStr">
        <is>
          <t>Hub integration / protocol fit (Zigbee hub)
[15%]</t>
        </is>
      </c>
      <c r="H6" s="30" t="inlineStr">
        <is>
          <t>Installation ease
[5%]</t>
        </is>
      </c>
      <c r="I6" s="30" t="inlineStr">
        <is>
          <t>Coverage range
[10%]</t>
        </is>
      </c>
      <c r="J6" s="10" t="inlineStr">
        <is>
          <t>Total Score</t>
        </is>
      </c>
      <c r="K6" s="11" t="n"/>
      <c r="L6" s="2" t="n"/>
      <c r="M6" s="2" t="n"/>
      <c r="N6" s="2" t="n"/>
      <c r="O6" s="2" t="n"/>
      <c r="P6" s="2" t="n"/>
      <c r="Q6" s="2" t="n"/>
    </row>
    <row r="7" ht="63" customHeight="1" s="20">
      <c r="A7" s="7" t="n"/>
      <c r="B7" s="31" t="inlineStr">
        <is>
          <t>PIR motion sensor, Zigbee 3.0, pet-immune</t>
        </is>
      </c>
      <c r="C7" s="13" t="n">
        <v>4</v>
      </c>
      <c r="D7" s="13" t="n">
        <v>4</v>
      </c>
      <c r="E7" s="13" t="n">
        <v>5</v>
      </c>
      <c r="F7" s="13" t="n">
        <v>5</v>
      </c>
      <c r="G7" s="13" t="n">
        <v>5</v>
      </c>
      <c r="H7" s="13" t="n">
        <v>5</v>
      </c>
      <c r="I7" s="13" t="n">
        <v>3</v>
      </c>
      <c r="J7" s="32">
        <f>SUMPRODUCT(C7:I7,$C$5:$I$5)/100</f>
        <v/>
      </c>
      <c r="K7" s="11" t="n"/>
      <c r="L7" s="2" t="n"/>
      <c r="M7" s="2" t="n"/>
      <c r="N7" s="2" t="n"/>
      <c r="O7" s="2" t="n"/>
      <c r="P7" s="2" t="n"/>
      <c r="Q7" s="2" t="n"/>
    </row>
    <row r="8" ht="63" customHeight="1" s="20">
      <c r="A8" s="7" t="n"/>
      <c r="B8" s="31" t="inlineStr">
        <is>
          <t>Microwave motion sensor, Wi-Fi</t>
        </is>
      </c>
      <c r="C8" s="13" t="n">
        <v>4</v>
      </c>
      <c r="D8" s="13" t="n">
        <v>2</v>
      </c>
      <c r="E8" s="13" t="n">
        <v>1</v>
      </c>
      <c r="F8" s="13" t="n">
        <v>3</v>
      </c>
      <c r="G8" s="13" t="n">
        <v>2</v>
      </c>
      <c r="H8" s="13" t="n">
        <v>3</v>
      </c>
      <c r="I8" s="13" t="n">
        <v>5</v>
      </c>
      <c r="J8" s="33">
        <f>SUMPRODUCT(C8:I8,$C$5:$I$5)/100</f>
        <v/>
      </c>
      <c r="K8" s="11" t="n"/>
      <c r="L8" s="2" t="n"/>
      <c r="M8" s="2" t="n"/>
      <c r="N8" s="2" t="n"/>
      <c r="O8" s="2" t="n"/>
      <c r="P8" s="2" t="n"/>
      <c r="Q8" s="2" t="n"/>
    </row>
    <row r="9" ht="63" customHeight="1" s="20">
      <c r="A9" s="7" t="n"/>
      <c r="B9" s="31" t="inlineStr">
        <is>
          <t>Dual-technology PIR + Microwave sensor, Z-Wave</t>
        </is>
      </c>
      <c r="C9" s="13" t="n">
        <v>5</v>
      </c>
      <c r="D9" s="13" t="n">
        <v>5</v>
      </c>
      <c r="E9" s="13" t="n">
        <v>3</v>
      </c>
      <c r="F9" s="13" t="n">
        <v>2</v>
      </c>
      <c r="G9" s="13" t="n">
        <v>2</v>
      </c>
      <c r="H9" s="13" t="n">
        <v>4</v>
      </c>
      <c r="I9" s="13" t="n">
        <v>4</v>
      </c>
      <c r="J9" s="33">
        <f>SUMPRODUCT(C9:I9,$C$5:$I$5)/100</f>
        <v/>
      </c>
      <c r="K9" s="11" t="n"/>
      <c r="L9" s="2" t="n"/>
      <c r="M9" s="2" t="n"/>
      <c r="N9" s="2" t="n"/>
      <c r="O9" s="2" t="n"/>
      <c r="P9" s="2" t="n"/>
      <c r="Q9" s="2" t="n"/>
    </row>
    <row r="10">
      <c r="A10" s="2" t="n"/>
      <c r="B10" s="18" t="n"/>
      <c r="C10" s="18" t="n"/>
      <c r="D10" s="18" t="n"/>
      <c r="E10" s="18" t="n"/>
      <c r="F10" s="18" t="n"/>
      <c r="G10" s="18" t="n"/>
      <c r="H10" s="18" t="n"/>
      <c r="I10" s="18" t="n"/>
      <c r="J10" s="18" t="n"/>
      <c r="K10" s="2" t="n"/>
      <c r="L10" s="2" t="n"/>
      <c r="M10" s="2" t="n"/>
      <c r="N10" s="2" t="n"/>
      <c r="O10" s="2" t="n"/>
      <c r="P10" s="2" t="n"/>
      <c r="Q10" s="2" t="n"/>
    </row>
    <row r="11">
      <c r="A11" s="2" t="n"/>
      <c r="B11" s="2" t="n"/>
      <c r="C11" s="2" t="n"/>
      <c r="D11" s="2" t="n"/>
      <c r="E11" s="2" t="n"/>
      <c r="F11" s="2" t="n"/>
      <c r="G11" s="2" t="n"/>
      <c r="H11" s="2" t="n"/>
      <c r="I11" s="2" t="n"/>
      <c r="J11" s="2" t="n"/>
      <c r="K11" s="2" t="n"/>
      <c r="L11" s="2" t="n"/>
      <c r="M11" s="2" t="n"/>
      <c r="N11" s="2" t="n"/>
      <c r="O11" s="2" t="n"/>
      <c r="P11" s="2" t="n"/>
      <c r="Q11" s="2" t="n"/>
    </row>
    <row r="12">
      <c r="A12" s="2" t="n"/>
      <c r="B12" s="2" t="n"/>
      <c r="C12" s="2" t="n"/>
      <c r="D12" s="2" t="n"/>
      <c r="E12" s="2" t="n"/>
      <c r="F12" s="2" t="n"/>
      <c r="G12" s="2" t="n"/>
      <c r="H12" s="2" t="n"/>
      <c r="I12" s="2" t="n"/>
      <c r="J12" s="2" t="n"/>
      <c r="K12" s="2" t="n"/>
      <c r="L12" s="2" t="n"/>
      <c r="M12" s="2" t="n"/>
      <c r="N12" s="2" t="n"/>
      <c r="O12" s="2" t="n"/>
      <c r="P12" s="2" t="n"/>
      <c r="Q12" s="2" t="n"/>
    </row>
    <row r="13" ht="150" customHeight="1" s="20">
      <c r="A13" s="2" t="n"/>
      <c r="B13" s="34" t="inlineStr">
        <is>
          <t>Final decision:</t>
        </is>
      </c>
      <c r="C13" s="35" t="inlineStr">
        <is>
          <t>I picked Option 1, the pet-immune PIR on Zigbee 3.0. It is not the most sensitive of the three, but detection accuracy and false-alarm immunity are the two criteria I weighted most, and the PIR is the only option that is good at both without a compromise elsewhere: a coin cell lasts two to three years and it joins the hub's Zigbee mesh directly. The dual-technology PIR+microwave sensor is technically the best detector, but it is Z-Wave, so it would need a second radio in the CCU, costs about twice as much and eats batteries. The Wi-Fi microwave sensor I scored low on purpose: it needs mains power, it sees through thin walls (false alarms from the neighbour's corridor) and it adds yet another device to the home Wi-Fi.</t>
        </is>
      </c>
      <c r="D13" s="26" t="n"/>
      <c r="E13" s="26" t="n"/>
      <c r="F13" s="26" t="n"/>
      <c r="G13" s="26" t="n"/>
      <c r="H13" s="26" t="n"/>
      <c r="I13" s="26" t="n"/>
      <c r="J13" s="27" t="n"/>
      <c r="K13" s="2" t="n"/>
      <c r="L13" s="2" t="n"/>
      <c r="M13" s="2" t="n"/>
      <c r="N13" s="2" t="n"/>
      <c r="O13" s="2" t="n"/>
      <c r="P13" s="2" t="n"/>
      <c r="Q13" s="2" t="n"/>
    </row>
    <row r="14">
      <c r="A14" s="2" t="n"/>
      <c r="B14" s="2" t="n"/>
      <c r="C14" s="2" t="n"/>
      <c r="D14" s="2" t="n"/>
      <c r="E14" s="2" t="n"/>
      <c r="F14" s="2" t="n"/>
      <c r="G14" s="2" t="n"/>
      <c r="H14" s="2" t="n"/>
      <c r="I14" s="2" t="n"/>
      <c r="J14" s="2" t="n"/>
      <c r="K14" s="2" t="n"/>
      <c r="L14" s="2" t="n"/>
      <c r="M14" s="2" t="n"/>
      <c r="N14" s="2" t="n"/>
      <c r="O14" s="2" t="n"/>
      <c r="P14" s="2" t="n"/>
      <c r="Q14" s="2" t="n"/>
    </row>
    <row r="15">
      <c r="A15" s="2" t="n"/>
      <c r="B15" s="2" t="n"/>
      <c r="C15" s="2" t="n"/>
      <c r="D15" s="2" t="n"/>
      <c r="E15" s="2" t="n"/>
      <c r="F15" s="2" t="n"/>
      <c r="G15" s="2" t="n"/>
      <c r="H15" s="2" t="n"/>
      <c r="I15" s="2" t="n"/>
      <c r="J15" s="2" t="n"/>
      <c r="K15" s="2" t="n"/>
      <c r="L15" s="2" t="n"/>
      <c r="M15" s="2" t="n"/>
      <c r="N15" s="2" t="n"/>
      <c r="O15" s="2" t="n"/>
      <c r="P15" s="2" t="n"/>
      <c r="Q15" s="2" t="n"/>
    </row>
    <row r="16">
      <c r="A16" s="2" t="n"/>
      <c r="B16" s="2" t="n"/>
      <c r="C16" s="2" t="n"/>
      <c r="D16" s="2" t="n"/>
      <c r="E16" s="2" t="n"/>
      <c r="F16" s="2" t="n"/>
      <c r="G16" s="2" t="n"/>
      <c r="H16" s="2" t="n"/>
      <c r="I16" s="2" t="n"/>
      <c r="J16" s="2" t="n"/>
      <c r="K16" s="2" t="n"/>
      <c r="L16" s="2" t="n"/>
      <c r="M16" s="2" t="n"/>
      <c r="N16" s="2" t="n"/>
      <c r="O16" s="2" t="n"/>
      <c r="P16" s="2" t="n"/>
      <c r="Q16" s="2" t="n"/>
    </row>
    <row r="17">
      <c r="A17" s="2" t="n"/>
      <c r="B17" s="2" t="n"/>
      <c r="C17" s="2" t="n"/>
      <c r="D17" s="2" t="n"/>
      <c r="E17" s="2" t="n"/>
      <c r="F17" s="2" t="n"/>
      <c r="G17" s="2" t="n"/>
      <c r="H17" s="2" t="n"/>
      <c r="I17" s="2" t="n"/>
      <c r="J17" s="2" t="n"/>
      <c r="K17" s="2" t="n"/>
      <c r="L17" s="2" t="n"/>
      <c r="M17" s="2" t="n"/>
      <c r="N17" s="2" t="n"/>
      <c r="O17" s="2" t="n"/>
      <c r="P17" s="2" t="n"/>
      <c r="Q17" s="2" t="n"/>
    </row>
    <row r="18">
      <c r="A18" s="2" t="n"/>
      <c r="B18" s="2" t="n"/>
      <c r="C18" s="2" t="n"/>
      <c r="D18" s="2" t="n"/>
      <c r="E18" s="2" t="n"/>
      <c r="F18" s="2" t="n"/>
      <c r="G18" s="2" t="n"/>
      <c r="H18" s="2" t="n"/>
      <c r="I18" s="2" t="n"/>
      <c r="J18" s="2" t="n"/>
      <c r="K18" s="2" t="n"/>
      <c r="L18" s="2" t="n"/>
      <c r="M18" s="2" t="n"/>
      <c r="N18" s="2" t="n"/>
      <c r="O18" s="2" t="n"/>
      <c r="P18" s="2" t="n"/>
      <c r="Q18" s="2" t="n"/>
    </row>
    <row r="19">
      <c r="A19" s="2" t="n"/>
      <c r="B19" s="2" t="n"/>
      <c r="C19" s="2" t="n"/>
      <c r="D19" s="2" t="n"/>
      <c r="E19" s="2" t="n"/>
      <c r="F19" s="2" t="n"/>
      <c r="G19" s="2" t="n"/>
      <c r="H19" s="2" t="n"/>
      <c r="I19" s="2" t="n"/>
      <c r="J19" s="2" t="n"/>
      <c r="K19" s="2" t="n"/>
      <c r="L19" s="2" t="n"/>
      <c r="M19" s="2" t="n"/>
      <c r="N19" s="2" t="n"/>
      <c r="O19" s="2" t="n"/>
      <c r="P19" s="2" t="n"/>
      <c r="Q19" s="2" t="n"/>
    </row>
    <row r="20">
      <c r="A20" s="2" t="n"/>
      <c r="B20" s="2" t="n"/>
      <c r="C20" s="2" t="n"/>
      <c r="D20" s="2" t="n"/>
      <c r="E20" s="2" t="n"/>
      <c r="F20" s="2" t="n"/>
      <c r="G20" s="2" t="n"/>
      <c r="H20" s="2" t="n"/>
      <c r="I20" s="2" t="n"/>
      <c r="J20" s="2" t="n"/>
      <c r="K20" s="2" t="n"/>
      <c r="L20" s="2" t="n"/>
      <c r="M20" s="2" t="n"/>
      <c r="N20" s="2" t="n"/>
      <c r="O20" s="2" t="n"/>
      <c r="P20" s="2" t="n"/>
      <c r="Q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row>
  </sheetData>
  <mergeCells count="2">
    <mergeCell ref="B4:J4"/>
    <mergeCell ref="C13:J13"/>
  </mergeCells>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0" summaryRight="0"/>
    <pageSetUpPr fitToPage="1"/>
  </sheetPr>
  <dimension ref="A1:AA50"/>
  <sheetViews>
    <sheetView workbookViewId="0">
      <selection activeCell="A1" sqref="A1"/>
    </sheetView>
  </sheetViews>
  <sheetFormatPr baseColWidth="8" defaultColWidth="12.63" defaultRowHeight="15.75" customHeight="1"/>
  <cols>
    <col width="16.13" customWidth="1" style="20" min="1" max="1"/>
    <col width="30" customWidth="1" style="20" min="2" max="2"/>
    <col width="17" customWidth="1" style="20" min="3" max="3"/>
    <col width="17" customWidth="1" style="20" min="4" max="10"/>
    <col width="17" customWidth="1" style="20" min="5" max="5"/>
    <col width="17" customWidth="1" style="20" min="6" max="6"/>
    <col width="17" customWidth="1" style="20" min="7" max="7"/>
    <col width="17" customWidth="1" style="20" min="8" max="8"/>
    <col width="17" customWidth="1" style="20" min="9" max="9"/>
  </cols>
  <sheetData>
    <row r="1" ht="29.25" customHeight="1" s="20">
      <c r="A1" s="2" t="n"/>
      <c r="B1" s="2" t="n"/>
      <c r="C1" s="2" t="n"/>
      <c r="D1" s="2" t="n"/>
      <c r="E1" s="2" t="n"/>
      <c r="F1" s="2" t="n"/>
      <c r="G1" s="2" t="n"/>
      <c r="H1" s="2" t="n"/>
      <c r="I1" s="2" t="n"/>
      <c r="J1" s="2" t="n"/>
      <c r="K1" s="2" t="n"/>
      <c r="L1" s="2" t="n"/>
      <c r="M1" s="2" t="n"/>
      <c r="N1" s="2" t="n"/>
      <c r="O1" s="2" t="n"/>
      <c r="P1" s="2" t="n"/>
      <c r="Q1" s="2" t="n"/>
    </row>
    <row r="2" ht="17.25" customHeight="1" s="20">
      <c r="A2" s="2" t="n"/>
      <c r="B2" s="2" t="inlineStr">
        <is>
          <t>Scores: 1 (worst) – 5 (best). Weighted total = Σ score × weight / 100 (max 5.00)</t>
        </is>
      </c>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c r="A4" s="2" t="n"/>
      <c r="B4" s="25" t="inlineStr">
        <is>
          <t>Decision Matrix for Door-Window Sensors</t>
        </is>
      </c>
      <c r="C4" s="26" t="n"/>
      <c r="D4" s="26" t="n"/>
      <c r="E4" s="26" t="n"/>
      <c r="F4" s="26" t="n"/>
      <c r="G4" s="26" t="n"/>
      <c r="H4" s="26" t="n"/>
      <c r="I4" s="26" t="n"/>
      <c r="J4" s="27" t="n"/>
      <c r="K4" s="2" t="n"/>
      <c r="L4" s="2" t="n"/>
      <c r="M4" s="2" t="n"/>
      <c r="N4" s="2" t="n"/>
      <c r="O4" s="2" t="n"/>
      <c r="P4" s="2" t="n"/>
      <c r="Q4" s="2" t="n"/>
    </row>
    <row r="5">
      <c r="A5" s="2" t="n"/>
      <c r="B5" s="28" t="inlineStr">
        <is>
          <t>Weight %</t>
        </is>
      </c>
      <c r="C5" s="29" t="n">
        <v>20</v>
      </c>
      <c r="D5" s="29" t="n">
        <v>15</v>
      </c>
      <c r="E5" s="29" t="n">
        <v>15</v>
      </c>
      <c r="F5" s="29" t="n">
        <v>20</v>
      </c>
      <c r="G5" s="29" t="n">
        <v>15</v>
      </c>
      <c r="H5" s="29" t="n">
        <v>5</v>
      </c>
      <c r="I5" s="29" t="n">
        <v>10</v>
      </c>
      <c r="J5" s="6" t="n"/>
      <c r="K5" s="2" t="n"/>
      <c r="L5" s="2" t="n"/>
      <c r="M5" s="2" t="n"/>
      <c r="N5" s="2" t="n"/>
      <c r="O5" s="2" t="n"/>
      <c r="P5" s="2" t="n"/>
      <c r="Q5" s="2" t="n"/>
    </row>
    <row r="6" ht="80" customHeight="1" s="20">
      <c r="A6" s="7" t="n"/>
      <c r="B6" s="8" t="inlineStr">
        <is>
          <t>Alternatives</t>
        </is>
      </c>
      <c r="C6" s="30" t="inlineStr">
        <is>
          <t>Reliability
[20%]</t>
        </is>
      </c>
      <c r="D6" s="30" t="inlineStr">
        <is>
          <t>Battery life / power
[15%]</t>
        </is>
      </c>
      <c r="E6" s="30" t="inlineStr">
        <is>
          <t>Unit cost
[15%]</t>
        </is>
      </c>
      <c r="F6" s="30" t="inlineStr">
        <is>
          <t>Installation ease (wiring)
[20%]</t>
        </is>
      </c>
      <c r="G6" s="30" t="inlineStr">
        <is>
          <t>Protocol fit with hub
[15%]</t>
        </is>
      </c>
      <c r="H6" s="30" t="inlineStr">
        <is>
          <t>Tamper detection
[5%]</t>
        </is>
      </c>
      <c r="I6" s="30" t="inlineStr">
        <is>
          <t>Response latency
[10%]</t>
        </is>
      </c>
      <c r="J6" s="10" t="inlineStr">
        <is>
          <t>Total Score</t>
        </is>
      </c>
      <c r="K6" s="11" t="n"/>
      <c r="L6" s="2" t="n"/>
      <c r="M6" s="2" t="n"/>
      <c r="N6" s="2" t="n"/>
      <c r="O6" s="2" t="n"/>
      <c r="P6" s="2" t="n"/>
      <c r="Q6" s="2" t="n"/>
    </row>
    <row r="7" ht="63" customHeight="1" s="20">
      <c r="A7" s="7" t="n"/>
      <c r="B7" s="31" t="inlineStr">
        <is>
          <t>Magnetic reed contact sensor, Zigbee 3.0</t>
        </is>
      </c>
      <c r="C7" s="13" t="n">
        <v>4</v>
      </c>
      <c r="D7" s="13" t="n">
        <v>5</v>
      </c>
      <c r="E7" s="13" t="n">
        <v>5</v>
      </c>
      <c r="F7" s="13" t="n">
        <v>5</v>
      </c>
      <c r="G7" s="13" t="n">
        <v>5</v>
      </c>
      <c r="H7" s="13" t="n">
        <v>4</v>
      </c>
      <c r="I7" s="13" t="n">
        <v>4</v>
      </c>
      <c r="J7" s="32">
        <f>SUMPRODUCT(C7:I7,$C$5:$I$5)/100</f>
        <v/>
      </c>
      <c r="K7" s="11" t="n"/>
      <c r="L7" s="2" t="n"/>
      <c r="M7" s="2" t="n"/>
      <c r="N7" s="2" t="n"/>
      <c r="O7" s="2" t="n"/>
      <c r="P7" s="2" t="n"/>
      <c r="Q7" s="2" t="n"/>
    </row>
    <row r="8" ht="63" customHeight="1" s="20">
      <c r="A8" s="7" t="n"/>
      <c r="B8" s="31" t="inlineStr">
        <is>
          <t>Wi-Fi contact sensor</t>
        </is>
      </c>
      <c r="C8" s="13" t="n">
        <v>3</v>
      </c>
      <c r="D8" s="13" t="n">
        <v>2</v>
      </c>
      <c r="E8" s="13" t="n">
        <v>3</v>
      </c>
      <c r="F8" s="13" t="n">
        <v>4</v>
      </c>
      <c r="G8" s="13" t="n">
        <v>2</v>
      </c>
      <c r="H8" s="13" t="n">
        <v>3</v>
      </c>
      <c r="I8" s="13" t="n">
        <v>3</v>
      </c>
      <c r="J8" s="33">
        <f>SUMPRODUCT(C8:I8,$C$5:$I$5)/100</f>
        <v/>
      </c>
      <c r="K8" s="11" t="n"/>
      <c r="L8" s="2" t="n"/>
      <c r="M8" s="2" t="n"/>
      <c r="N8" s="2" t="n"/>
      <c r="O8" s="2" t="n"/>
      <c r="P8" s="2" t="n"/>
      <c r="Q8" s="2" t="n"/>
    </row>
    <row r="9" ht="63" customHeight="1" s="20">
      <c r="A9" s="7" t="n"/>
      <c r="B9" s="31" t="inlineStr">
        <is>
          <t>Wired contact sensor to CCU input panel</t>
        </is>
      </c>
      <c r="C9" s="13" t="n">
        <v>5</v>
      </c>
      <c r="D9" s="13" t="n">
        <v>5</v>
      </c>
      <c r="E9" s="13" t="n">
        <v>4</v>
      </c>
      <c r="F9" s="13" t="n">
        <v>1</v>
      </c>
      <c r="G9" s="13" t="n">
        <v>3</v>
      </c>
      <c r="H9" s="13" t="n">
        <v>5</v>
      </c>
      <c r="I9" s="13" t="n">
        <v>5</v>
      </c>
      <c r="J9" s="33">
        <f>SUMPRODUCT(C9:I9,$C$5:$I$5)/100</f>
        <v/>
      </c>
      <c r="K9" s="11" t="n"/>
      <c r="L9" s="2" t="n"/>
      <c r="M9" s="2" t="n"/>
      <c r="N9" s="2" t="n"/>
      <c r="O9" s="2" t="n"/>
      <c r="P9" s="2" t="n"/>
      <c r="Q9" s="2" t="n"/>
    </row>
    <row r="10">
      <c r="A10" s="2" t="n"/>
      <c r="B10" s="18" t="n"/>
      <c r="C10" s="18" t="n"/>
      <c r="D10" s="18" t="n"/>
      <c r="E10" s="18" t="n"/>
      <c r="F10" s="18" t="n"/>
      <c r="G10" s="18" t="n"/>
      <c r="H10" s="18" t="n"/>
      <c r="I10" s="18" t="n"/>
      <c r="J10" s="18" t="n"/>
      <c r="K10" s="2" t="n"/>
      <c r="L10" s="2" t="n"/>
      <c r="M10" s="2" t="n"/>
      <c r="N10" s="2" t="n"/>
      <c r="O10" s="2" t="n"/>
      <c r="P10" s="2" t="n"/>
      <c r="Q10" s="2" t="n"/>
    </row>
    <row r="11">
      <c r="A11" s="2" t="n"/>
      <c r="B11" s="2" t="n"/>
      <c r="C11" s="2" t="n"/>
      <c r="D11" s="2" t="n"/>
      <c r="E11" s="2" t="n"/>
      <c r="F11" s="2" t="n"/>
      <c r="G11" s="2" t="n"/>
      <c r="H11" s="2" t="n"/>
      <c r="I11" s="2" t="n"/>
      <c r="J11" s="2" t="n"/>
      <c r="K11" s="2" t="n"/>
      <c r="L11" s="2" t="n"/>
      <c r="M11" s="2" t="n"/>
      <c r="N11" s="2" t="n"/>
      <c r="O11" s="2" t="n"/>
      <c r="P11" s="2" t="n"/>
      <c r="Q11" s="2" t="n"/>
    </row>
    <row r="12">
      <c r="A12" s="2" t="n"/>
      <c r="B12" s="2" t="n"/>
      <c r="C12" s="2" t="n"/>
      <c r="D12" s="2" t="n"/>
      <c r="E12" s="2" t="n"/>
      <c r="F12" s="2" t="n"/>
      <c r="G12" s="2" t="n"/>
      <c r="H12" s="2" t="n"/>
      <c r="I12" s="2" t="n"/>
      <c r="J12" s="2" t="n"/>
      <c r="K12" s="2" t="n"/>
      <c r="L12" s="2" t="n"/>
      <c r="M12" s="2" t="n"/>
      <c r="N12" s="2" t="n"/>
      <c r="O12" s="2" t="n"/>
      <c r="P12" s="2" t="n"/>
      <c r="Q12" s="2" t="n"/>
    </row>
    <row r="13" ht="150" customHeight="1" s="20">
      <c r="A13" s="2" t="n"/>
      <c r="B13" s="34" t="inlineStr">
        <is>
          <t>Final decision:</t>
        </is>
      </c>
      <c r="C13" s="35" t="inlineStr">
        <is>
          <t>Option 1, the Zigbee reed contact, is the clear winner and honestly the obvious choice for a retrofit home: peel-and-stick installation, two to three years on a battery, cheap enough to put on every window, and native to the hub. I gave the wired contact top marks for reliability and supervision, and if this were a new build with cable already in the walls I would choose it. The Wi-Fi contact sensor loses on battery life (months, not years) and because it talks to the vendor cloud instead of the local mesh.</t>
        </is>
      </c>
      <c r="D13" s="26" t="n"/>
      <c r="E13" s="26" t="n"/>
      <c r="F13" s="26" t="n"/>
      <c r="G13" s="26" t="n"/>
      <c r="H13" s="26" t="n"/>
      <c r="I13" s="26" t="n"/>
      <c r="J13" s="27" t="n"/>
      <c r="K13" s="2" t="n"/>
      <c r="L13" s="2" t="n"/>
      <c r="M13" s="2" t="n"/>
      <c r="N13" s="2" t="n"/>
      <c r="O13" s="2" t="n"/>
      <c r="P13" s="2" t="n"/>
      <c r="Q13" s="2" t="n"/>
    </row>
    <row r="14">
      <c r="A14" s="2" t="n"/>
      <c r="B14" s="2" t="n"/>
      <c r="C14" s="2" t="n"/>
      <c r="D14" s="2" t="n"/>
      <c r="E14" s="2" t="n"/>
      <c r="F14" s="2" t="n"/>
      <c r="G14" s="2" t="n"/>
      <c r="H14" s="2" t="n"/>
      <c r="I14" s="2" t="n"/>
      <c r="J14" s="2" t="n"/>
      <c r="K14" s="2" t="n"/>
      <c r="L14" s="2" t="n"/>
      <c r="M14" s="2" t="n"/>
      <c r="N14" s="2" t="n"/>
      <c r="O14" s="2" t="n"/>
      <c r="P14" s="2" t="n"/>
      <c r="Q14" s="2" t="n"/>
    </row>
    <row r="15">
      <c r="A15" s="2" t="n"/>
      <c r="B15" s="2" t="n"/>
      <c r="C15" s="2" t="n"/>
      <c r="D15" s="2" t="n"/>
      <c r="E15" s="2" t="n"/>
      <c r="F15" s="2" t="n"/>
      <c r="G15" s="2" t="n"/>
      <c r="H15" s="2" t="n"/>
      <c r="I15" s="2" t="n"/>
      <c r="J15" s="2" t="n"/>
      <c r="K15" s="2" t="n"/>
      <c r="L15" s="2" t="n"/>
      <c r="M15" s="2" t="n"/>
      <c r="N15" s="2" t="n"/>
      <c r="O15" s="2" t="n"/>
      <c r="P15" s="2" t="n"/>
      <c r="Q15" s="2" t="n"/>
    </row>
    <row r="16">
      <c r="A16" s="2" t="n"/>
      <c r="B16" s="2" t="n"/>
      <c r="C16" s="2" t="n"/>
      <c r="D16" s="2" t="n"/>
      <c r="E16" s="2" t="n"/>
      <c r="F16" s="2" t="n"/>
      <c r="G16" s="2" t="n"/>
      <c r="H16" s="2" t="n"/>
      <c r="I16" s="2" t="n"/>
      <c r="J16" s="2" t="n"/>
      <c r="K16" s="2" t="n"/>
      <c r="L16" s="2" t="n"/>
      <c r="M16" s="2" t="n"/>
      <c r="N16" s="2" t="n"/>
      <c r="O16" s="2" t="n"/>
      <c r="P16" s="2" t="n"/>
      <c r="Q16" s="2" t="n"/>
    </row>
    <row r="17">
      <c r="A17" s="2" t="n"/>
      <c r="B17" s="2" t="n"/>
      <c r="C17" s="2" t="n"/>
      <c r="D17" s="2" t="n"/>
      <c r="E17" s="2" t="n"/>
      <c r="F17" s="2" t="n"/>
      <c r="G17" s="2" t="n"/>
      <c r="H17" s="2" t="n"/>
      <c r="I17" s="2" t="n"/>
      <c r="J17" s="2" t="n"/>
      <c r="K17" s="2" t="n"/>
      <c r="L17" s="2" t="n"/>
      <c r="M17" s="2" t="n"/>
      <c r="N17" s="2" t="n"/>
      <c r="O17" s="2" t="n"/>
      <c r="P17" s="2" t="n"/>
      <c r="Q17" s="2" t="n"/>
    </row>
    <row r="18">
      <c r="A18" s="2" t="n"/>
      <c r="B18" s="2" t="n"/>
      <c r="C18" s="2" t="n"/>
      <c r="D18" s="2" t="n"/>
      <c r="E18" s="2" t="n"/>
      <c r="F18" s="2" t="n"/>
      <c r="G18" s="2" t="n"/>
      <c r="H18" s="2" t="n"/>
      <c r="I18" s="2" t="n"/>
      <c r="J18" s="2" t="n"/>
      <c r="K18" s="2" t="n"/>
      <c r="L18" s="2" t="n"/>
      <c r="M18" s="2" t="n"/>
      <c r="N18" s="2" t="n"/>
      <c r="O18" s="2" t="n"/>
      <c r="P18" s="2" t="n"/>
      <c r="Q18" s="2" t="n"/>
    </row>
    <row r="19">
      <c r="A19" s="2" t="n"/>
      <c r="B19" s="2" t="n"/>
      <c r="C19" s="2" t="n"/>
      <c r="D19" s="2" t="n"/>
      <c r="E19" s="2" t="n"/>
      <c r="F19" s="2" t="n"/>
      <c r="G19" s="2" t="n"/>
      <c r="H19" s="2" t="n"/>
      <c r="I19" s="2" t="n"/>
      <c r="J19" s="2" t="n"/>
      <c r="K19" s="2" t="n"/>
      <c r="L19" s="2" t="n"/>
      <c r="M19" s="2" t="n"/>
      <c r="N19" s="2" t="n"/>
      <c r="O19" s="2" t="n"/>
      <c r="P19" s="2" t="n"/>
      <c r="Q19" s="2" t="n"/>
    </row>
    <row r="20">
      <c r="A20" s="2" t="n"/>
      <c r="B20" s="2" t="n"/>
      <c r="C20" s="2" t="n"/>
      <c r="D20" s="2" t="n"/>
      <c r="E20" s="2" t="n"/>
      <c r="F20" s="2" t="n"/>
      <c r="G20" s="2" t="n"/>
      <c r="H20" s="2" t="n"/>
      <c r="I20" s="2" t="n"/>
      <c r="J20" s="2" t="n"/>
      <c r="K20" s="2" t="n"/>
      <c r="L20" s="2" t="n"/>
      <c r="M20" s="2" t="n"/>
      <c r="N20" s="2" t="n"/>
      <c r="O20" s="2" t="n"/>
      <c r="P20" s="2" t="n"/>
      <c r="Q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row>
  </sheetData>
  <mergeCells count="2">
    <mergeCell ref="B4:J4"/>
    <mergeCell ref="C13:J13"/>
  </mergeCells>
  <pageMargins left="0.75" right="0.75" top="1" bottom="1" header="0.5" footer="0.5"/>
  <pageSetup orientation="landscape" fitToHeight="1" fitToWidth="1"/>
</worksheet>
</file>

<file path=xl/worksheets/sheet4.xml><?xml version="1.0" encoding="utf-8"?>
<worksheet xmlns="http://schemas.openxmlformats.org/spreadsheetml/2006/main">
  <sheetPr>
    <outlinePr summaryBelow="0" summaryRight="0"/>
    <pageSetUpPr fitToPage="1"/>
  </sheetPr>
  <dimension ref="A1:AA50"/>
  <sheetViews>
    <sheetView workbookViewId="0">
      <selection activeCell="A1" sqref="A1"/>
    </sheetView>
  </sheetViews>
  <sheetFormatPr baseColWidth="8" defaultColWidth="12.63" defaultRowHeight="15.75" customHeight="1"/>
  <cols>
    <col width="16.13" customWidth="1" style="20" min="1" max="1"/>
    <col width="30" customWidth="1" style="20" min="2" max="2"/>
    <col width="17" customWidth="1" style="20" min="3" max="3"/>
    <col width="17" customWidth="1" style="20" min="4" max="10"/>
    <col width="17" customWidth="1" style="20" min="5" max="5"/>
    <col width="17" customWidth="1" style="20" min="6" max="6"/>
    <col width="17" customWidth="1" style="20" min="7" max="7"/>
    <col width="17" customWidth="1" style="20" min="8" max="8"/>
    <col width="17" customWidth="1" style="20" min="9" max="9"/>
  </cols>
  <sheetData>
    <row r="1" ht="29.25" customHeight="1" s="20">
      <c r="A1" s="2" t="n"/>
      <c r="B1" s="2" t="n"/>
      <c r="C1" s="2" t="n"/>
      <c r="D1" s="2" t="n"/>
      <c r="E1" s="2" t="n"/>
      <c r="F1" s="2" t="n"/>
      <c r="G1" s="2" t="n"/>
      <c r="H1" s="2" t="n"/>
      <c r="I1" s="2" t="n"/>
      <c r="J1" s="2" t="n"/>
      <c r="K1" s="2" t="n"/>
      <c r="L1" s="2" t="n"/>
      <c r="M1" s="2" t="n"/>
      <c r="N1" s="2" t="n"/>
      <c r="O1" s="2" t="n"/>
      <c r="P1" s="2" t="n"/>
      <c r="Q1" s="2" t="n"/>
    </row>
    <row r="2" ht="17.25" customHeight="1" s="20">
      <c r="A2" s="2" t="n"/>
      <c r="B2" s="2" t="inlineStr">
        <is>
          <t>Scores: 1 (worst) – 5 (best). Weighted total = Σ score × weight / 100 (max 5.00)</t>
        </is>
      </c>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c r="A4" s="2" t="n"/>
      <c r="B4" s="25" t="inlineStr">
        <is>
          <t>Decision Matrix for Water Leak Sensors</t>
        </is>
      </c>
      <c r="C4" s="26" t="n"/>
      <c r="D4" s="26" t="n"/>
      <c r="E4" s="26" t="n"/>
      <c r="F4" s="26" t="n"/>
      <c r="G4" s="26" t="n"/>
      <c r="H4" s="26" t="n"/>
      <c r="I4" s="26" t="n"/>
      <c r="J4" s="27" t="n"/>
      <c r="K4" s="2" t="n"/>
      <c r="L4" s="2" t="n"/>
      <c r="M4" s="2" t="n"/>
      <c r="N4" s="2" t="n"/>
      <c r="O4" s="2" t="n"/>
      <c r="P4" s="2" t="n"/>
      <c r="Q4" s="2" t="n"/>
    </row>
    <row r="5">
      <c r="A5" s="2" t="n"/>
      <c r="B5" s="28" t="inlineStr">
        <is>
          <t>Weight %</t>
        </is>
      </c>
      <c r="C5" s="29" t="n">
        <v>20</v>
      </c>
      <c r="D5" s="29" t="n">
        <v>20</v>
      </c>
      <c r="E5" s="29" t="n">
        <v>15</v>
      </c>
      <c r="F5" s="29" t="n">
        <v>15</v>
      </c>
      <c r="G5" s="29" t="n">
        <v>15</v>
      </c>
      <c r="H5" s="29" t="n">
        <v>10</v>
      </c>
      <c r="I5" s="29" t="n">
        <v>5</v>
      </c>
      <c r="J5" s="6" t="n"/>
      <c r="K5" s="2" t="n"/>
      <c r="L5" s="2" t="n"/>
      <c r="M5" s="2" t="n"/>
      <c r="N5" s="2" t="n"/>
      <c r="O5" s="2" t="n"/>
      <c r="P5" s="2" t="n"/>
      <c r="Q5" s="2" t="n"/>
    </row>
    <row r="6" ht="80" customHeight="1" s="20">
      <c r="A6" s="7" t="n"/>
      <c r="B6" s="8" t="inlineStr">
        <is>
          <t>Alternatives</t>
        </is>
      </c>
      <c r="C6" s="30" t="inlineStr">
        <is>
          <t>Detection reliability
[20%]</t>
        </is>
      </c>
      <c r="D6" s="30" t="inlineStr">
        <is>
          <t>Battery life / power
[20%]</t>
        </is>
      </c>
      <c r="E6" s="30" t="inlineStr">
        <is>
          <t>Unit cost
[15%]</t>
        </is>
      </c>
      <c r="F6" s="30" t="inlineStr">
        <is>
          <t>Installation ease
[15%]</t>
        </is>
      </c>
      <c r="G6" s="30" t="inlineStr">
        <is>
          <t>Protocol fit with hub
[15%]</t>
        </is>
      </c>
      <c r="H6" s="30" t="inlineStr">
        <is>
          <t>Placement flexibility (probe cable reach)
[10%]</t>
        </is>
      </c>
      <c r="I6" s="30" t="inlineStr">
        <is>
          <t>Response latency
[5%]</t>
        </is>
      </c>
      <c r="J6" s="10" t="inlineStr">
        <is>
          <t>Total Score</t>
        </is>
      </c>
      <c r="K6" s="11" t="n"/>
      <c r="L6" s="2" t="n"/>
      <c r="M6" s="2" t="n"/>
      <c r="N6" s="2" t="n"/>
      <c r="O6" s="2" t="n"/>
      <c r="P6" s="2" t="n"/>
      <c r="Q6" s="2" t="n"/>
    </row>
    <row r="7" ht="63" customHeight="1" s="20">
      <c r="A7" s="7" t="n"/>
      <c r="B7" s="31" t="inlineStr">
        <is>
          <t>Zigbee spot leak sensor with probe cable</t>
        </is>
      </c>
      <c r="C7" s="13" t="n">
        <v>4</v>
      </c>
      <c r="D7" s="13" t="n">
        <v>5</v>
      </c>
      <c r="E7" s="13" t="n">
        <v>5</v>
      </c>
      <c r="F7" s="13" t="n">
        <v>5</v>
      </c>
      <c r="G7" s="13" t="n">
        <v>5</v>
      </c>
      <c r="H7" s="13" t="n">
        <v>5</v>
      </c>
      <c r="I7" s="13" t="n">
        <v>4</v>
      </c>
      <c r="J7" s="32">
        <f>SUMPRODUCT(C7:I7,$C$5:$I$5)/100</f>
        <v/>
      </c>
      <c r="K7" s="11" t="n"/>
      <c r="L7" s="2" t="n"/>
      <c r="M7" s="2" t="n"/>
      <c r="N7" s="2" t="n"/>
      <c r="O7" s="2" t="n"/>
      <c r="P7" s="2" t="n"/>
      <c r="Q7" s="2" t="n"/>
    </row>
    <row r="8" ht="63" customHeight="1" s="20">
      <c r="A8" s="7" t="n"/>
      <c r="B8" s="31" t="inlineStr">
        <is>
          <t>Wi-Fi leak sensor</t>
        </is>
      </c>
      <c r="C8" s="13" t="n">
        <v>3</v>
      </c>
      <c r="D8" s="13" t="n">
        <v>2</v>
      </c>
      <c r="E8" s="13" t="n">
        <v>3</v>
      </c>
      <c r="F8" s="13" t="n">
        <v>4</v>
      </c>
      <c r="G8" s="13" t="n">
        <v>2</v>
      </c>
      <c r="H8" s="13" t="n">
        <v>3</v>
      </c>
      <c r="I8" s="13" t="n">
        <v>3</v>
      </c>
      <c r="J8" s="33">
        <f>SUMPRODUCT(C8:I8,$C$5:$I$5)/100</f>
        <v/>
      </c>
      <c r="K8" s="11" t="n"/>
      <c r="L8" s="2" t="n"/>
      <c r="M8" s="2" t="n"/>
      <c r="N8" s="2" t="n"/>
      <c r="O8" s="2" t="n"/>
      <c r="P8" s="2" t="n"/>
      <c r="Q8" s="2" t="n"/>
    </row>
    <row r="9" ht="63" customHeight="1" s="20">
      <c r="A9" s="7" t="n"/>
      <c r="B9" s="31" t="inlineStr">
        <is>
          <t>Wired probe to CCU input panel</t>
        </is>
      </c>
      <c r="C9" s="13" t="n">
        <v>5</v>
      </c>
      <c r="D9" s="13" t="n">
        <v>5</v>
      </c>
      <c r="E9" s="13" t="n">
        <v>3</v>
      </c>
      <c r="F9" s="13" t="n">
        <v>1</v>
      </c>
      <c r="G9" s="13" t="n">
        <v>3</v>
      </c>
      <c r="H9" s="13" t="n">
        <v>2</v>
      </c>
      <c r="I9" s="13" t="n">
        <v>5</v>
      </c>
      <c r="J9" s="33">
        <f>SUMPRODUCT(C9:I9,$C$5:$I$5)/100</f>
        <v/>
      </c>
      <c r="K9" s="11" t="n"/>
      <c r="L9" s="2" t="n"/>
      <c r="M9" s="2" t="n"/>
      <c r="N9" s="2" t="n"/>
      <c r="O9" s="2" t="n"/>
      <c r="P9" s="2" t="n"/>
      <c r="Q9" s="2" t="n"/>
    </row>
    <row r="10">
      <c r="A10" s="2" t="n"/>
      <c r="B10" s="18" t="n"/>
      <c r="C10" s="18" t="n"/>
      <c r="D10" s="18" t="n"/>
      <c r="E10" s="18" t="n"/>
      <c r="F10" s="18" t="n"/>
      <c r="G10" s="18" t="n"/>
      <c r="H10" s="18" t="n"/>
      <c r="I10" s="18" t="n"/>
      <c r="J10" s="18" t="n"/>
      <c r="K10" s="2" t="n"/>
      <c r="L10" s="2" t="n"/>
      <c r="M10" s="2" t="n"/>
      <c r="N10" s="2" t="n"/>
      <c r="O10" s="2" t="n"/>
      <c r="P10" s="2" t="n"/>
      <c r="Q10" s="2" t="n"/>
    </row>
    <row r="11">
      <c r="A11" s="2" t="n"/>
      <c r="B11" s="2" t="n"/>
      <c r="C11" s="2" t="n"/>
      <c r="D11" s="2" t="n"/>
      <c r="E11" s="2" t="n"/>
      <c r="F11" s="2" t="n"/>
      <c r="G11" s="2" t="n"/>
      <c r="H11" s="2" t="n"/>
      <c r="I11" s="2" t="n"/>
      <c r="J11" s="2" t="n"/>
      <c r="K11" s="2" t="n"/>
      <c r="L11" s="2" t="n"/>
      <c r="M11" s="2" t="n"/>
      <c r="N11" s="2" t="n"/>
      <c r="O11" s="2" t="n"/>
      <c r="P11" s="2" t="n"/>
      <c r="Q11" s="2" t="n"/>
    </row>
    <row r="12">
      <c r="A12" s="2" t="n"/>
      <c r="B12" s="2" t="n"/>
      <c r="C12" s="2" t="n"/>
      <c r="D12" s="2" t="n"/>
      <c r="E12" s="2" t="n"/>
      <c r="F12" s="2" t="n"/>
      <c r="G12" s="2" t="n"/>
      <c r="H12" s="2" t="n"/>
      <c r="I12" s="2" t="n"/>
      <c r="J12" s="2" t="n"/>
      <c r="K12" s="2" t="n"/>
      <c r="L12" s="2" t="n"/>
      <c r="M12" s="2" t="n"/>
      <c r="N12" s="2" t="n"/>
      <c r="O12" s="2" t="n"/>
      <c r="P12" s="2" t="n"/>
      <c r="Q12" s="2" t="n"/>
    </row>
    <row r="13" ht="150" customHeight="1" s="20">
      <c r="A13" s="2" t="n"/>
      <c r="B13" s="34" t="inlineStr">
        <is>
          <t>Final decision:</t>
        </is>
      </c>
      <c r="C13" s="35" t="inlineStr">
        <is>
          <t>Option 1 again: the Zigbee spot sensor with a probe cable. What decided it for me was placement. Leaks happen under the dishwasher, behind the washing machine and under the water heater, and the probe cable reaches places where a boxy Wi-Fi unit does not fit. Battery life and cost are in the same league as the other Zigbee sensors. The wired probe is reliable but means running cable to every wet spot in the house; the Wi-Fi sensor needs recharging, and basements are exactly where Wi-Fi is weakest.</t>
        </is>
      </c>
      <c r="D13" s="26" t="n"/>
      <c r="E13" s="26" t="n"/>
      <c r="F13" s="26" t="n"/>
      <c r="G13" s="26" t="n"/>
      <c r="H13" s="26" t="n"/>
      <c r="I13" s="26" t="n"/>
      <c r="J13" s="27" t="n"/>
      <c r="K13" s="2" t="n"/>
      <c r="L13" s="2" t="n"/>
      <c r="M13" s="2" t="n"/>
      <c r="N13" s="2" t="n"/>
      <c r="O13" s="2" t="n"/>
      <c r="P13" s="2" t="n"/>
      <c r="Q13" s="2" t="n"/>
    </row>
    <row r="14">
      <c r="A14" s="2" t="n"/>
      <c r="B14" s="2" t="n"/>
      <c r="C14" s="2" t="n"/>
      <c r="D14" s="2" t="n"/>
      <c r="E14" s="2" t="n"/>
      <c r="F14" s="2" t="n"/>
      <c r="G14" s="2" t="n"/>
      <c r="H14" s="2" t="n"/>
      <c r="I14" s="2" t="n"/>
      <c r="J14" s="2" t="n"/>
      <c r="K14" s="2" t="n"/>
      <c r="L14" s="2" t="n"/>
      <c r="M14" s="2" t="n"/>
      <c r="N14" s="2" t="n"/>
      <c r="O14" s="2" t="n"/>
      <c r="P14" s="2" t="n"/>
      <c r="Q14" s="2" t="n"/>
    </row>
    <row r="15">
      <c r="A15" s="2" t="n"/>
      <c r="B15" s="2" t="n"/>
      <c r="C15" s="2" t="n"/>
      <c r="D15" s="2" t="n"/>
      <c r="E15" s="2" t="n"/>
      <c r="F15" s="2" t="n"/>
      <c r="G15" s="2" t="n"/>
      <c r="H15" s="2" t="n"/>
      <c r="I15" s="2" t="n"/>
      <c r="J15" s="2" t="n"/>
      <c r="K15" s="2" t="n"/>
      <c r="L15" s="2" t="n"/>
      <c r="M15" s="2" t="n"/>
      <c r="N15" s="2" t="n"/>
      <c r="O15" s="2" t="n"/>
      <c r="P15" s="2" t="n"/>
      <c r="Q15" s="2" t="n"/>
    </row>
    <row r="16">
      <c r="A16" s="2" t="n"/>
      <c r="B16" s="2" t="n"/>
      <c r="C16" s="2" t="n"/>
      <c r="D16" s="2" t="n"/>
      <c r="E16" s="2" t="n"/>
      <c r="F16" s="2" t="n"/>
      <c r="G16" s="2" t="n"/>
      <c r="H16" s="2" t="n"/>
      <c r="I16" s="2" t="n"/>
      <c r="J16" s="2" t="n"/>
      <c r="K16" s="2" t="n"/>
      <c r="L16" s="2" t="n"/>
      <c r="M16" s="2" t="n"/>
      <c r="N16" s="2" t="n"/>
      <c r="O16" s="2" t="n"/>
      <c r="P16" s="2" t="n"/>
      <c r="Q16" s="2" t="n"/>
    </row>
    <row r="17">
      <c r="A17" s="2" t="n"/>
      <c r="B17" s="2" t="n"/>
      <c r="C17" s="2" t="n"/>
      <c r="D17" s="2" t="n"/>
      <c r="E17" s="2" t="n"/>
      <c r="F17" s="2" t="n"/>
      <c r="G17" s="2" t="n"/>
      <c r="H17" s="2" t="n"/>
      <c r="I17" s="2" t="n"/>
      <c r="J17" s="2" t="n"/>
      <c r="K17" s="2" t="n"/>
      <c r="L17" s="2" t="n"/>
      <c r="M17" s="2" t="n"/>
      <c r="N17" s="2" t="n"/>
      <c r="O17" s="2" t="n"/>
      <c r="P17" s="2" t="n"/>
      <c r="Q17" s="2" t="n"/>
    </row>
    <row r="18">
      <c r="A18" s="2" t="n"/>
      <c r="B18" s="2" t="n"/>
      <c r="C18" s="2" t="n"/>
      <c r="D18" s="2" t="n"/>
      <c r="E18" s="2" t="n"/>
      <c r="F18" s="2" t="n"/>
      <c r="G18" s="2" t="n"/>
      <c r="H18" s="2" t="n"/>
      <c r="I18" s="2" t="n"/>
      <c r="J18" s="2" t="n"/>
      <c r="K18" s="2" t="n"/>
      <c r="L18" s="2" t="n"/>
      <c r="M18" s="2" t="n"/>
      <c r="N18" s="2" t="n"/>
      <c r="O18" s="2" t="n"/>
      <c r="P18" s="2" t="n"/>
      <c r="Q18" s="2" t="n"/>
    </row>
    <row r="19">
      <c r="A19" s="2" t="n"/>
      <c r="B19" s="2" t="n"/>
      <c r="C19" s="2" t="n"/>
      <c r="D19" s="2" t="n"/>
      <c r="E19" s="2" t="n"/>
      <c r="F19" s="2" t="n"/>
      <c r="G19" s="2" t="n"/>
      <c r="H19" s="2" t="n"/>
      <c r="I19" s="2" t="n"/>
      <c r="J19" s="2" t="n"/>
      <c r="K19" s="2" t="n"/>
      <c r="L19" s="2" t="n"/>
      <c r="M19" s="2" t="n"/>
      <c r="N19" s="2" t="n"/>
      <c r="O19" s="2" t="n"/>
      <c r="P19" s="2" t="n"/>
      <c r="Q19" s="2" t="n"/>
    </row>
    <row r="20">
      <c r="A20" s="2" t="n"/>
      <c r="B20" s="2" t="n"/>
      <c r="C20" s="2" t="n"/>
      <c r="D20" s="2" t="n"/>
      <c r="E20" s="2" t="n"/>
      <c r="F20" s="2" t="n"/>
      <c r="G20" s="2" t="n"/>
      <c r="H20" s="2" t="n"/>
      <c r="I20" s="2" t="n"/>
      <c r="J20" s="2" t="n"/>
      <c r="K20" s="2" t="n"/>
      <c r="L20" s="2" t="n"/>
      <c r="M20" s="2" t="n"/>
      <c r="N20" s="2" t="n"/>
      <c r="O20" s="2" t="n"/>
      <c r="P20" s="2" t="n"/>
      <c r="Q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row>
  </sheetData>
  <mergeCells count="2">
    <mergeCell ref="B4:J4"/>
    <mergeCell ref="C13:J13"/>
  </mergeCells>
  <pageMargins left="0.75" right="0.75" top="1" bottom="1" header="0.5" footer="0.5"/>
  <pageSetup orientation="landscape" fitToHeight="1" fitToWidth="1"/>
</worksheet>
</file>

<file path=xl/worksheets/sheet5.xml><?xml version="1.0" encoding="utf-8"?>
<worksheet xmlns="http://schemas.openxmlformats.org/spreadsheetml/2006/main">
  <sheetPr>
    <outlinePr summaryBelow="0" summaryRight="0"/>
    <pageSetUpPr fitToPage="1"/>
  </sheetPr>
  <dimension ref="A1:AA50"/>
  <sheetViews>
    <sheetView workbookViewId="0">
      <selection activeCell="A1" sqref="A1"/>
    </sheetView>
  </sheetViews>
  <sheetFormatPr baseColWidth="8" defaultColWidth="12.63" defaultRowHeight="15.75" customHeight="1"/>
  <cols>
    <col width="16.13" customWidth="1" style="20" min="1" max="1"/>
    <col width="30" customWidth="1" style="20" min="2" max="2"/>
    <col width="17" customWidth="1" style="20" min="3" max="3"/>
    <col width="17" customWidth="1" style="20" min="4" max="10"/>
    <col width="17" customWidth="1" style="20" min="5" max="5"/>
    <col width="17" customWidth="1" style="20" min="6" max="6"/>
    <col width="17" customWidth="1" style="20" min="7" max="7"/>
    <col width="17" customWidth="1" style="20" min="8" max="8"/>
    <col width="17" customWidth="1" style="20" min="9" max="9"/>
    <col width="17" customWidth="1" style="20" min="10" max="10"/>
    <col width="17" customWidth="1" style="20" min="11" max="11"/>
  </cols>
  <sheetData>
    <row r="1" ht="29.25" customHeight="1" s="20">
      <c r="A1" s="2" t="n"/>
      <c r="B1" s="2" t="n"/>
      <c r="C1" s="2" t="n"/>
      <c r="D1" s="2" t="n"/>
      <c r="E1" s="2" t="n"/>
      <c r="F1" s="2" t="n"/>
      <c r="G1" s="2" t="n"/>
      <c r="H1" s="2" t="n"/>
      <c r="I1" s="2" t="n"/>
      <c r="J1" s="2" t="n"/>
      <c r="K1" s="2" t="n"/>
      <c r="L1" s="2" t="n"/>
      <c r="M1" s="2" t="n"/>
      <c r="N1" s="2" t="n"/>
      <c r="O1" s="2" t="n"/>
      <c r="P1" s="2" t="n"/>
      <c r="Q1" s="2" t="n"/>
    </row>
    <row r="2" ht="17.25" customHeight="1" s="20">
      <c r="A2" s="2" t="n"/>
      <c r="B2" s="2" t="inlineStr">
        <is>
          <t>Scores: 1 (worst) – 5 (best). Weighted total = Σ score × weight / 100 (max 5.00)</t>
        </is>
      </c>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c r="A4" s="2" t="n"/>
      <c r="B4" s="25" t="inlineStr">
        <is>
          <t>Decision Matrix for Cameras</t>
        </is>
      </c>
      <c r="C4" s="26" t="n"/>
      <c r="D4" s="26" t="n"/>
      <c r="E4" s="26" t="n"/>
      <c r="F4" s="26" t="n"/>
      <c r="G4" s="26" t="n"/>
      <c r="H4" s="26" t="n"/>
      <c r="I4" s="26" t="n"/>
      <c r="J4" s="26" t="n"/>
      <c r="K4" s="26" t="n"/>
      <c r="L4" s="27" t="n"/>
      <c r="M4" s="2" t="n"/>
      <c r="N4" s="2" t="n"/>
      <c r="O4" s="2" t="n"/>
      <c r="P4" s="2" t="n"/>
      <c r="Q4" s="2" t="n"/>
    </row>
    <row r="5">
      <c r="A5" s="2" t="n"/>
      <c r="B5" s="28" t="inlineStr">
        <is>
          <t>Weight %</t>
        </is>
      </c>
      <c r="C5" s="29" t="n">
        <v>10</v>
      </c>
      <c r="D5" s="29" t="n">
        <v>15</v>
      </c>
      <c r="E5" s="29" t="n">
        <v>10</v>
      </c>
      <c r="F5" s="29" t="n">
        <v>10</v>
      </c>
      <c r="G5" s="29" t="n">
        <v>10</v>
      </c>
      <c r="H5" s="29" t="n">
        <v>15</v>
      </c>
      <c r="I5" s="29" t="n">
        <v>10</v>
      </c>
      <c r="J5" s="29" t="n">
        <v>10</v>
      </c>
      <c r="K5" s="36" t="n">
        <v>10</v>
      </c>
      <c r="L5" s="2" t="n"/>
      <c r="M5" s="2" t="n"/>
      <c r="N5" s="2" t="n"/>
      <c r="O5" s="2" t="n"/>
      <c r="P5" s="2" t="n"/>
      <c r="Q5" s="2" t="n"/>
    </row>
    <row r="6" ht="80" customHeight="1" s="20">
      <c r="A6" s="7" t="n"/>
      <c r="B6" s="8" t="inlineStr">
        <is>
          <t>Alternatives</t>
        </is>
      </c>
      <c r="C6" s="30" t="inlineStr">
        <is>
          <t>Video quality
[10%]</t>
        </is>
      </c>
      <c r="D6" s="30" t="inlineStr">
        <is>
          <t>Connection reliability
[15%]</t>
        </is>
      </c>
      <c r="E6" s="30" t="inlineStr">
        <is>
          <t>Power dependency / battery
[10%]</t>
        </is>
      </c>
      <c r="F6" s="30" t="inlineStr">
        <is>
          <t>Installation complexity
[10%]</t>
        </is>
      </c>
      <c r="G6" s="30" t="inlineStr">
        <is>
          <t>Cost (device + infrastructure)
[10%]</t>
        </is>
      </c>
      <c r="H6" s="30" t="inlineStr">
        <is>
          <t>Local recording &amp; open-standard support (ONVIF/RTSP)
[15%]</t>
        </is>
      </c>
      <c r="I6" s="30" t="inlineStr">
        <is>
          <t>Security / encryption
[10%]</t>
        </is>
      </c>
      <c r="J6" s="30" t="inlineStr">
        <is>
          <t>Bandwidth impact on Wi-Fi
[10%]</t>
        </is>
      </c>
      <c r="K6" s="30" t="inlineStr">
        <is>
          <t>Night vision
[10%]</t>
        </is>
      </c>
      <c r="L6" s="10" t="inlineStr">
        <is>
          <t>Total Score</t>
        </is>
      </c>
      <c r="M6" s="2" t="n"/>
      <c r="N6" s="2" t="n"/>
      <c r="O6" s="2" t="n"/>
      <c r="P6" s="2" t="n"/>
      <c r="Q6" s="2" t="n"/>
    </row>
    <row r="7" ht="63" customHeight="1" s="20">
      <c r="A7" s="7" t="n"/>
      <c r="B7" s="31" t="inlineStr">
        <is>
          <t>PoE wired IP camera (ONVIF/RTSP)</t>
        </is>
      </c>
      <c r="C7" s="13" t="n">
        <v>5</v>
      </c>
      <c r="D7" s="13" t="n">
        <v>5</v>
      </c>
      <c r="E7" s="13" t="n">
        <v>5</v>
      </c>
      <c r="F7" s="13" t="n">
        <v>2</v>
      </c>
      <c r="G7" s="13" t="n">
        <v>3</v>
      </c>
      <c r="H7" s="13" t="n">
        <v>5</v>
      </c>
      <c r="I7" s="13" t="n">
        <v>4</v>
      </c>
      <c r="J7" s="13" t="n">
        <v>5</v>
      </c>
      <c r="K7" s="13" t="n">
        <v>4</v>
      </c>
      <c r="L7" s="32">
        <f>SUMPRODUCT(C7:K7,$C$5:$K$5)/100</f>
        <v/>
      </c>
      <c r="M7" s="2" t="n"/>
      <c r="N7" s="2" t="n"/>
      <c r="O7" s="2" t="n"/>
      <c r="P7" s="2" t="n"/>
      <c r="Q7" s="2" t="n"/>
    </row>
    <row r="8" ht="63" customHeight="1" s="20">
      <c r="A8" s="7" t="n"/>
      <c r="B8" s="31" t="inlineStr">
        <is>
          <t>Wi-Fi mains-powered camera</t>
        </is>
      </c>
      <c r="C8" s="13" t="n">
        <v>4</v>
      </c>
      <c r="D8" s="13" t="n">
        <v>3</v>
      </c>
      <c r="E8" s="13" t="n">
        <v>4</v>
      </c>
      <c r="F8" s="13" t="n">
        <v>4</v>
      </c>
      <c r="G8" s="13" t="n">
        <v>4</v>
      </c>
      <c r="H8" s="13" t="n">
        <v>3</v>
      </c>
      <c r="I8" s="13" t="n">
        <v>3</v>
      </c>
      <c r="J8" s="13" t="n">
        <v>2</v>
      </c>
      <c r="K8" s="13" t="n">
        <v>4</v>
      </c>
      <c r="L8" s="33">
        <f>SUMPRODUCT(C8:K8,$C$5:$K$5)/100</f>
        <v/>
      </c>
      <c r="M8" s="2" t="n"/>
      <c r="N8" s="2" t="n"/>
      <c r="O8" s="2" t="n"/>
      <c r="P8" s="2" t="n"/>
      <c r="Q8" s="2" t="n"/>
    </row>
    <row r="9" ht="63" customHeight="1" s="20">
      <c r="A9" s="7" t="n"/>
      <c r="B9" s="31" t="inlineStr">
        <is>
          <t>Wi-Fi battery camera</t>
        </is>
      </c>
      <c r="C9" s="13" t="n">
        <v>3</v>
      </c>
      <c r="D9" s="13" t="n">
        <v>2</v>
      </c>
      <c r="E9" s="13" t="n">
        <v>1</v>
      </c>
      <c r="F9" s="13" t="n">
        <v>5</v>
      </c>
      <c r="G9" s="13" t="n">
        <v>3</v>
      </c>
      <c r="H9" s="13" t="n">
        <v>1</v>
      </c>
      <c r="I9" s="13" t="n">
        <v>2</v>
      </c>
      <c r="J9" s="13" t="n">
        <v>3</v>
      </c>
      <c r="K9" s="13" t="n">
        <v>3</v>
      </c>
      <c r="L9" s="33">
        <f>SUMPRODUCT(C9:K9,$C$5:$K$5)/100</f>
        <v/>
      </c>
      <c r="M9" s="2" t="n"/>
      <c r="N9" s="2" t="n"/>
      <c r="O9" s="2" t="n"/>
      <c r="P9" s="2" t="n"/>
      <c r="Q9" s="2" t="n"/>
    </row>
    <row r="10" ht="63" customHeight="1" s="20">
      <c r="A10" s="2" t="n"/>
      <c r="B10" s="31" t="inlineStr">
        <is>
          <t>Analog HD coax camera (HD-CVI/TVI) + DVR</t>
        </is>
      </c>
      <c r="C10" s="13" t="n">
        <v>3</v>
      </c>
      <c r="D10" s="13" t="n">
        <v>5</v>
      </c>
      <c r="E10" s="13" t="n">
        <v>3</v>
      </c>
      <c r="F10" s="13" t="n">
        <v>2</v>
      </c>
      <c r="G10" s="13" t="n">
        <v>4</v>
      </c>
      <c r="H10" s="13" t="n">
        <v>3</v>
      </c>
      <c r="I10" s="13" t="n">
        <v>3</v>
      </c>
      <c r="J10" s="13" t="n">
        <v>5</v>
      </c>
      <c r="K10" s="13" t="n">
        <v>4</v>
      </c>
      <c r="L10" s="33">
        <f>SUMPRODUCT(C10:K10,$C$5:$K$5)/100</f>
        <v/>
      </c>
      <c r="M10" s="2" t="n"/>
      <c r="N10" s="2" t="n"/>
      <c r="O10" s="2" t="n"/>
      <c r="P10" s="2" t="n"/>
      <c r="Q10" s="2" t="n"/>
    </row>
    <row r="11">
      <c r="A11" s="2" t="n"/>
      <c r="B11" s="2" t="n"/>
      <c r="C11" s="2" t="n"/>
      <c r="D11" s="2" t="n"/>
      <c r="E11" s="2" t="n"/>
      <c r="F11" s="2" t="n"/>
      <c r="G11" s="2" t="n"/>
      <c r="H11" s="2" t="n"/>
      <c r="I11" s="2" t="n"/>
      <c r="J11" s="2" t="n"/>
      <c r="K11" s="2" t="n"/>
      <c r="L11" s="2" t="n"/>
      <c r="M11" s="2" t="n"/>
      <c r="N11" s="2" t="n"/>
      <c r="O11" s="2" t="n"/>
      <c r="P11" s="2" t="n"/>
      <c r="Q11" s="2" t="n"/>
    </row>
    <row r="12">
      <c r="A12" s="2" t="n"/>
      <c r="B12" s="2" t="n"/>
      <c r="C12" s="2" t="n"/>
      <c r="D12" s="2" t="n"/>
      <c r="E12" s="2" t="n"/>
      <c r="F12" s="2" t="n"/>
      <c r="G12" s="2" t="n"/>
      <c r="H12" s="2" t="n"/>
      <c r="I12" s="2" t="n"/>
      <c r="J12" s="2" t="n"/>
      <c r="K12" s="2" t="n"/>
      <c r="L12" s="2" t="n"/>
      <c r="M12" s="2" t="n"/>
      <c r="N12" s="2" t="n"/>
      <c r="O12" s="2" t="n"/>
      <c r="P12" s="2" t="n"/>
      <c r="Q12" s="2" t="n"/>
    </row>
    <row r="13" ht="230" customHeight="1" s="20">
      <c r="A13" s="2" t="n"/>
      <c r="B13" s="34" t="inlineStr">
        <is>
          <t>Final decision:</t>
        </is>
      </c>
      <c r="C13" s="35" t="inlineStr">
        <is>
          <t>Option 1, PoE wired IP cameras with ONVIF/RTSP, with a total of 4.30. The criteria I weighted highest were connection reliability and local, open-standard recording, and PoE wins both without much discussion: one cable carries power and video, the NVR on the CCU records without any vendor cloud, and the cameras keep running from the UPS-backed PoE switch during a power cut. The price for that is installation effort (cable runs), which I scored a 2 and accept as a one-off cost. The analog HD coax option surprised me by coming second: it is cheap and reliable, but it needs a separate DVR and integrates poorly. Wi-Fi mains cameras congest the home network; Wi-Fi battery cameras need charging every few weeks, record only on motion and usually lock the recordings into a subscription.</t>
        </is>
      </c>
      <c r="D13" s="26" t="n"/>
      <c r="E13" s="26" t="n"/>
      <c r="F13" s="26" t="n"/>
      <c r="G13" s="26" t="n"/>
      <c r="H13" s="26" t="n"/>
      <c r="I13" s="26" t="n"/>
      <c r="J13" s="26" t="n"/>
      <c r="K13" s="26" t="n"/>
      <c r="L13" s="27" t="n"/>
      <c r="M13" s="2" t="n"/>
      <c r="N13" s="2" t="n"/>
      <c r="O13" s="2" t="n"/>
      <c r="P13" s="2" t="n"/>
      <c r="Q13" s="2" t="n"/>
    </row>
    <row r="14">
      <c r="A14" s="2" t="n"/>
      <c r="B14" s="2" t="n"/>
      <c r="C14" s="2" t="n"/>
      <c r="D14" s="2" t="n"/>
      <c r="E14" s="2" t="n"/>
      <c r="F14" s="2" t="n"/>
      <c r="G14" s="2" t="n"/>
      <c r="H14" s="2" t="n"/>
      <c r="I14" s="2" t="n"/>
      <c r="J14" s="2" t="n"/>
      <c r="K14" s="2" t="n"/>
      <c r="L14" s="2" t="n"/>
      <c r="M14" s="2" t="n"/>
      <c r="N14" s="2" t="n"/>
      <c r="O14" s="2" t="n"/>
      <c r="P14" s="2" t="n"/>
      <c r="Q14" s="2" t="n"/>
    </row>
    <row r="15">
      <c r="A15" s="2" t="n"/>
      <c r="B15" s="2" t="n"/>
      <c r="C15" s="2" t="n"/>
      <c r="D15" s="2" t="n"/>
      <c r="E15" s="2" t="n"/>
      <c r="F15" s="2" t="n"/>
      <c r="G15" s="2" t="n"/>
      <c r="H15" s="2" t="n"/>
      <c r="I15" s="2" t="n"/>
      <c r="J15" s="2" t="n"/>
      <c r="K15" s="2" t="n"/>
      <c r="L15" s="2" t="n"/>
      <c r="M15" s="2" t="n"/>
      <c r="N15" s="2" t="n"/>
      <c r="O15" s="2" t="n"/>
      <c r="P15" s="2" t="n"/>
      <c r="Q15" s="2" t="n"/>
    </row>
    <row r="16">
      <c r="A16" s="2" t="n"/>
      <c r="B16" s="2" t="n"/>
      <c r="C16" s="2" t="n"/>
      <c r="D16" s="2" t="n"/>
      <c r="E16" s="2" t="n"/>
      <c r="F16" s="2" t="n"/>
      <c r="G16" s="2" t="n"/>
      <c r="H16" s="2" t="n"/>
      <c r="I16" s="2" t="n"/>
      <c r="J16" s="2" t="n"/>
      <c r="K16" s="2" t="n"/>
      <c r="L16" s="2" t="n"/>
      <c r="M16" s="2" t="n"/>
      <c r="N16" s="2" t="n"/>
      <c r="O16" s="2" t="n"/>
      <c r="P16" s="2" t="n"/>
      <c r="Q16" s="2" t="n"/>
    </row>
    <row r="17">
      <c r="A17" s="2" t="n"/>
      <c r="B17" s="2" t="n"/>
      <c r="C17" s="2" t="n"/>
      <c r="D17" s="2" t="n"/>
      <c r="E17" s="2" t="n"/>
      <c r="F17" s="2" t="n"/>
      <c r="G17" s="2" t="n"/>
      <c r="H17" s="2" t="n"/>
      <c r="I17" s="2" t="n"/>
      <c r="J17" s="2" t="n"/>
      <c r="K17" s="2" t="n"/>
      <c r="L17" s="2" t="n"/>
      <c r="M17" s="2" t="n"/>
      <c r="N17" s="2" t="n"/>
      <c r="O17" s="2" t="n"/>
      <c r="P17" s="2" t="n"/>
      <c r="Q17" s="2" t="n"/>
    </row>
    <row r="18">
      <c r="A18" s="2" t="n"/>
      <c r="B18" s="2" t="n"/>
      <c r="C18" s="2" t="n"/>
      <c r="D18" s="2" t="n"/>
      <c r="E18" s="2" t="n"/>
      <c r="F18" s="2" t="n"/>
      <c r="G18" s="2" t="n"/>
      <c r="H18" s="2" t="n"/>
      <c r="I18" s="2" t="n"/>
      <c r="J18" s="2" t="n"/>
      <c r="K18" s="2" t="n"/>
      <c r="L18" s="2" t="n"/>
      <c r="M18" s="2" t="n"/>
      <c r="N18" s="2" t="n"/>
      <c r="O18" s="2" t="n"/>
      <c r="P18" s="2" t="n"/>
      <c r="Q18" s="2" t="n"/>
    </row>
    <row r="19">
      <c r="A19" s="2" t="n"/>
      <c r="B19" s="2" t="n"/>
      <c r="C19" s="2" t="n"/>
      <c r="D19" s="2" t="n"/>
      <c r="E19" s="2" t="n"/>
      <c r="F19" s="2" t="n"/>
      <c r="G19" s="2" t="n"/>
      <c r="H19" s="2" t="n"/>
      <c r="I19" s="2" t="n"/>
      <c r="J19" s="2" t="n"/>
      <c r="K19" s="2" t="n"/>
      <c r="L19" s="2" t="n"/>
      <c r="M19" s="2" t="n"/>
      <c r="N19" s="2" t="n"/>
      <c r="O19" s="2" t="n"/>
      <c r="P19" s="2" t="n"/>
      <c r="Q19" s="2" t="n"/>
    </row>
    <row r="20">
      <c r="A20" s="2" t="n"/>
      <c r="B20" s="2" t="n"/>
      <c r="C20" s="2" t="n"/>
      <c r="D20" s="2" t="n"/>
      <c r="E20" s="2" t="n"/>
      <c r="F20" s="2" t="n"/>
      <c r="G20" s="2" t="n"/>
      <c r="H20" s="2" t="n"/>
      <c r="I20" s="2" t="n"/>
      <c r="J20" s="2" t="n"/>
      <c r="K20" s="2" t="n"/>
      <c r="L20" s="2" t="n"/>
      <c r="M20" s="2" t="n"/>
      <c r="N20" s="2" t="n"/>
      <c r="O20" s="2" t="n"/>
      <c r="P20" s="2" t="n"/>
      <c r="Q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row>
  </sheetData>
  <mergeCells count="2">
    <mergeCell ref="B4:L4"/>
    <mergeCell ref="C13:L13"/>
  </mergeCells>
  <pageMargins left="0.75" right="0.75" top="1" bottom="1" header="0.5" footer="0.5"/>
  <pageSetup orientation="landscape" fitToHeight="1" fitToWidth="1"/>
</worksheet>
</file>

<file path=xl/worksheets/sheet6.xml><?xml version="1.0" encoding="utf-8"?>
<worksheet xmlns="http://schemas.openxmlformats.org/spreadsheetml/2006/main">
  <sheetPr>
    <outlinePr summaryBelow="0" summaryRight="0"/>
    <pageSetUpPr fitToPage="1"/>
  </sheetPr>
  <dimension ref="A1:AA50"/>
  <sheetViews>
    <sheetView workbookViewId="0">
      <selection activeCell="A1" sqref="A1"/>
    </sheetView>
  </sheetViews>
  <sheetFormatPr baseColWidth="8" defaultColWidth="12.63" defaultRowHeight="15.75" customHeight="1"/>
  <cols>
    <col width="16.13" customWidth="1" style="20" min="1" max="1"/>
    <col width="30" customWidth="1" style="20" min="2" max="2"/>
    <col width="17" customWidth="1" style="20" min="3" max="3"/>
    <col width="17" customWidth="1" style="20" min="4" max="10"/>
    <col width="17" customWidth="1" style="20" min="5" max="5"/>
    <col width="17" customWidth="1" style="20" min="6" max="6"/>
    <col width="17" customWidth="1" style="20" min="7" max="7"/>
    <col width="17" customWidth="1" style="20" min="8" max="8"/>
    <col width="17" customWidth="1" style="20" min="9" max="9"/>
  </cols>
  <sheetData>
    <row r="1" ht="29.25" customHeight="1" s="20">
      <c r="A1" s="2" t="n"/>
      <c r="B1" s="2" t="n"/>
      <c r="C1" s="2" t="n"/>
      <c r="D1" s="2" t="n"/>
      <c r="E1" s="2" t="n"/>
      <c r="F1" s="2" t="n"/>
      <c r="G1" s="2" t="n"/>
      <c r="H1" s="2" t="n"/>
      <c r="I1" s="2" t="n"/>
      <c r="J1" s="2" t="n"/>
      <c r="K1" s="2" t="n"/>
      <c r="L1" s="2" t="n"/>
      <c r="M1" s="2" t="n"/>
      <c r="N1" s="2" t="n"/>
      <c r="O1" s="2" t="n"/>
      <c r="P1" s="2" t="n"/>
      <c r="Q1" s="2" t="n"/>
    </row>
    <row r="2" ht="17.25" customHeight="1" s="20">
      <c r="A2" s="2" t="n"/>
      <c r="B2" s="2" t="inlineStr">
        <is>
          <t>Scores: 1 (worst) – 5 (best). Weighted total = Σ score × weight / 100 (max 5.00)</t>
        </is>
      </c>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c r="A4" s="2" t="n"/>
      <c r="B4" s="25" t="inlineStr">
        <is>
          <t>Decision Matrix for Controllers - Smart Lock</t>
        </is>
      </c>
      <c r="C4" s="26" t="n"/>
      <c r="D4" s="26" t="n"/>
      <c r="E4" s="26" t="n"/>
      <c r="F4" s="26" t="n"/>
      <c r="G4" s="26" t="n"/>
      <c r="H4" s="26" t="n"/>
      <c r="I4" s="26" t="n"/>
      <c r="J4" s="27" t="n"/>
      <c r="K4" s="2" t="n"/>
      <c r="L4" s="2" t="n"/>
      <c r="M4" s="2" t="n"/>
      <c r="N4" s="2" t="n"/>
      <c r="O4" s="2" t="n"/>
      <c r="P4" s="2" t="n"/>
      <c r="Q4" s="2" t="n"/>
    </row>
    <row r="5">
      <c r="A5" s="2" t="n"/>
      <c r="B5" s="28" t="inlineStr">
        <is>
          <t>Weight %</t>
        </is>
      </c>
      <c r="C5" s="29" t="n">
        <v>20</v>
      </c>
      <c r="D5" s="29" t="n">
        <v>20</v>
      </c>
      <c r="E5" s="29" t="n">
        <v>20</v>
      </c>
      <c r="F5" s="29" t="n">
        <v>10</v>
      </c>
      <c r="G5" s="29" t="n">
        <v>10</v>
      </c>
      <c r="H5" s="29" t="n">
        <v>15</v>
      </c>
      <c r="I5" s="29" t="n">
        <v>5</v>
      </c>
      <c r="J5" s="6" t="n"/>
      <c r="K5" s="2" t="n"/>
      <c r="L5" s="2" t="n"/>
      <c r="M5" s="2" t="n"/>
      <c r="N5" s="2" t="n"/>
      <c r="O5" s="2" t="n"/>
      <c r="P5" s="2" t="n"/>
      <c r="Q5" s="2" t="n"/>
    </row>
    <row r="6" ht="80" customHeight="1" s="20">
      <c r="A6" s="7" t="n"/>
      <c r="B6" s="8" t="inlineStr">
        <is>
          <t>Alternatives</t>
        </is>
      </c>
      <c r="C6" s="30" t="inlineStr">
        <is>
          <t>Battery life
[20%]</t>
        </is>
      </c>
      <c r="D6" s="30" t="inlineStr">
        <is>
          <t>Security (encryption, tamper)
[20%]</t>
        </is>
      </c>
      <c r="E6" s="30" t="inlineStr">
        <is>
          <t>Protocol fit with hub
[20%]</t>
        </is>
      </c>
      <c r="F6" s="30" t="inlineStr">
        <is>
          <t>Unit cost
[10%]</t>
        </is>
      </c>
      <c r="G6" s="30" t="inlineStr">
        <is>
          <t>Response latency
[10%]</t>
        </is>
      </c>
      <c r="H6" s="30" t="inlineStr">
        <is>
          <t>Offline operation (works without internet)
[15%]</t>
        </is>
      </c>
      <c r="I6" s="30" t="inlineStr">
        <is>
          <t>Ease of installation
[5%]</t>
        </is>
      </c>
      <c r="J6" s="10" t="inlineStr">
        <is>
          <t>Total Score</t>
        </is>
      </c>
      <c r="K6" s="11" t="n"/>
      <c r="L6" s="2" t="n"/>
      <c r="M6" s="2" t="n"/>
      <c r="N6" s="2" t="n"/>
      <c r="O6" s="2" t="n"/>
      <c r="P6" s="2" t="n"/>
      <c r="Q6" s="2" t="n"/>
    </row>
    <row r="7" ht="63" customHeight="1" s="20">
      <c r="A7" s="7" t="n"/>
      <c r="B7" s="31" t="inlineStr">
        <is>
          <t>Zigbee smart lock</t>
        </is>
      </c>
      <c r="C7" s="13" t="n">
        <v>4</v>
      </c>
      <c r="D7" s="13" t="n">
        <v>4</v>
      </c>
      <c r="E7" s="13" t="n">
        <v>5</v>
      </c>
      <c r="F7" s="13" t="n">
        <v>4</v>
      </c>
      <c r="G7" s="13" t="n">
        <v>4</v>
      </c>
      <c r="H7" s="13" t="n">
        <v>5</v>
      </c>
      <c r="I7" s="13" t="n">
        <v>4</v>
      </c>
      <c r="J7" s="32">
        <f>SUMPRODUCT(C7:I7,$C$5:$I$5)/100</f>
        <v/>
      </c>
      <c r="K7" s="11" t="n"/>
      <c r="L7" s="2" t="n"/>
      <c r="M7" s="2" t="n"/>
      <c r="N7" s="2" t="n"/>
      <c r="O7" s="2" t="n"/>
      <c r="P7" s="2" t="n"/>
      <c r="Q7" s="2" t="n"/>
    </row>
    <row r="8" ht="63" customHeight="1" s="20">
      <c r="A8" s="7" t="n"/>
      <c r="B8" s="31" t="inlineStr">
        <is>
          <t>Z-Wave smart lock</t>
        </is>
      </c>
      <c r="C8" s="13" t="n">
        <v>4</v>
      </c>
      <c r="D8" s="13" t="n">
        <v>5</v>
      </c>
      <c r="E8" s="13" t="n">
        <v>2</v>
      </c>
      <c r="F8" s="13" t="n">
        <v>3</v>
      </c>
      <c r="G8" s="13" t="n">
        <v>4</v>
      </c>
      <c r="H8" s="13" t="n">
        <v>5</v>
      </c>
      <c r="I8" s="13" t="n">
        <v>4</v>
      </c>
      <c r="J8" s="33">
        <f>SUMPRODUCT(C8:I8,$C$5:$I$5)/100</f>
        <v/>
      </c>
      <c r="K8" s="11" t="n"/>
      <c r="L8" s="2" t="n"/>
      <c r="M8" s="2" t="n"/>
      <c r="N8" s="2" t="n"/>
      <c r="O8" s="2" t="n"/>
      <c r="P8" s="2" t="n"/>
      <c r="Q8" s="2" t="n"/>
    </row>
    <row r="9" ht="63" customHeight="1" s="20">
      <c r="A9" s="7" t="n"/>
      <c r="B9" s="31" t="inlineStr">
        <is>
          <t>Wi-Fi smart lock</t>
        </is>
      </c>
      <c r="C9" s="13" t="n">
        <v>1</v>
      </c>
      <c r="D9" s="13" t="n">
        <v>3</v>
      </c>
      <c r="E9" s="13" t="n">
        <v>2</v>
      </c>
      <c r="F9" s="13" t="n">
        <v>3</v>
      </c>
      <c r="G9" s="13" t="n">
        <v>3</v>
      </c>
      <c r="H9" s="13" t="n">
        <v>2</v>
      </c>
      <c r="I9" s="13" t="n">
        <v>4</v>
      </c>
      <c r="J9" s="33">
        <f>SUMPRODUCT(C9:I9,$C$5:$I$5)/100</f>
        <v/>
      </c>
      <c r="K9" s="11" t="n"/>
      <c r="L9" s="2" t="n"/>
      <c r="M9" s="2" t="n"/>
      <c r="N9" s="2" t="n"/>
      <c r="O9" s="2" t="n"/>
      <c r="P9" s="2" t="n"/>
      <c r="Q9" s="2" t="n"/>
    </row>
    <row r="10">
      <c r="A10" s="2" t="n"/>
      <c r="B10" s="18" t="n"/>
      <c r="C10" s="18" t="n"/>
      <c r="D10" s="18" t="n"/>
      <c r="E10" s="18" t="n"/>
      <c r="F10" s="18" t="n"/>
      <c r="G10" s="18" t="n"/>
      <c r="H10" s="18" t="n"/>
      <c r="I10" s="18" t="n"/>
      <c r="J10" s="18" t="n"/>
      <c r="K10" s="2" t="n"/>
      <c r="L10" s="2" t="n"/>
      <c r="M10" s="2" t="n"/>
      <c r="N10" s="2" t="n"/>
      <c r="O10" s="2" t="n"/>
      <c r="P10" s="2" t="n"/>
      <c r="Q10" s="2" t="n"/>
    </row>
    <row r="11">
      <c r="A11" s="2" t="n"/>
      <c r="B11" s="2" t="n"/>
      <c r="C11" s="2" t="n"/>
      <c r="D11" s="2" t="n"/>
      <c r="E11" s="2" t="n"/>
      <c r="F11" s="2" t="n"/>
      <c r="G11" s="2" t="n"/>
      <c r="H11" s="2" t="n"/>
      <c r="I11" s="2" t="n"/>
      <c r="J11" s="2" t="n"/>
      <c r="K11" s="2" t="n"/>
      <c r="L11" s="2" t="n"/>
      <c r="M11" s="2" t="n"/>
      <c r="N11" s="2" t="n"/>
      <c r="O11" s="2" t="n"/>
      <c r="P11" s="2" t="n"/>
      <c r="Q11" s="2" t="n"/>
    </row>
    <row r="12">
      <c r="A12" s="2" t="n"/>
      <c r="B12" s="2" t="n"/>
      <c r="C12" s="2" t="n"/>
      <c r="D12" s="2" t="n"/>
      <c r="E12" s="2" t="n"/>
      <c r="F12" s="2" t="n"/>
      <c r="G12" s="2" t="n"/>
      <c r="H12" s="2" t="n"/>
      <c r="I12" s="2" t="n"/>
      <c r="J12" s="2" t="n"/>
      <c r="K12" s="2" t="n"/>
      <c r="L12" s="2" t="n"/>
      <c r="M12" s="2" t="n"/>
      <c r="N12" s="2" t="n"/>
      <c r="O12" s="2" t="n"/>
      <c r="P12" s="2" t="n"/>
      <c r="Q12" s="2" t="n"/>
    </row>
    <row r="13" ht="150" customHeight="1" s="20">
      <c r="A13" s="2" t="n"/>
      <c r="B13" s="34" t="inlineStr">
        <is>
          <t>Final decision:</t>
        </is>
      </c>
      <c r="C13" s="35" t="inlineStr">
        <is>
          <t>Option 1, a Zigbee smart lock. For a lock I weighted security, offline operation and protocol fit highest. The Zigbee lock works entirely through the CCU's local automations (auto-lock on Armed Away) with no internet involved, reports tamper and low battery, and uses the same AES-128 link keys as the sensors. The Z-Wave lock is a close second with its S2 security class, but it would be the only Z-Wave device in the house and would need its own controller. The Wi-Fi lock I would not put on my own front door: the battery lasts weeks and most models stop working when the vendor cloud is down.</t>
        </is>
      </c>
      <c r="D13" s="26" t="n"/>
      <c r="E13" s="26" t="n"/>
      <c r="F13" s="26" t="n"/>
      <c r="G13" s="26" t="n"/>
      <c r="H13" s="26" t="n"/>
      <c r="I13" s="26" t="n"/>
      <c r="J13" s="27" t="n"/>
      <c r="K13" s="2" t="n"/>
      <c r="L13" s="2" t="n"/>
      <c r="M13" s="2" t="n"/>
      <c r="N13" s="2" t="n"/>
      <c r="O13" s="2" t="n"/>
      <c r="P13" s="2" t="n"/>
      <c r="Q13" s="2" t="n"/>
    </row>
    <row r="14">
      <c r="A14" s="2" t="n"/>
      <c r="B14" s="2" t="n"/>
      <c r="C14" s="2" t="n"/>
      <c r="D14" s="2" t="n"/>
      <c r="E14" s="2" t="n"/>
      <c r="F14" s="2" t="n"/>
      <c r="G14" s="2" t="n"/>
      <c r="H14" s="2" t="n"/>
      <c r="I14" s="2" t="n"/>
      <c r="J14" s="2" t="n"/>
      <c r="K14" s="2" t="n"/>
      <c r="L14" s="2" t="n"/>
      <c r="M14" s="2" t="n"/>
      <c r="N14" s="2" t="n"/>
      <c r="O14" s="2" t="n"/>
      <c r="P14" s="2" t="n"/>
      <c r="Q14" s="2" t="n"/>
    </row>
    <row r="15">
      <c r="A15" s="2" t="n"/>
      <c r="B15" s="2" t="n"/>
      <c r="C15" s="2" t="n"/>
      <c r="D15" s="2" t="n"/>
      <c r="E15" s="2" t="n"/>
      <c r="F15" s="2" t="n"/>
      <c r="G15" s="2" t="n"/>
      <c r="H15" s="2" t="n"/>
      <c r="I15" s="2" t="n"/>
      <c r="J15" s="2" t="n"/>
      <c r="K15" s="2" t="n"/>
      <c r="L15" s="2" t="n"/>
      <c r="M15" s="2" t="n"/>
      <c r="N15" s="2" t="n"/>
      <c r="O15" s="2" t="n"/>
      <c r="P15" s="2" t="n"/>
      <c r="Q15" s="2" t="n"/>
    </row>
    <row r="16">
      <c r="A16" s="2" t="n"/>
      <c r="B16" s="2" t="n"/>
      <c r="C16" s="2" t="n"/>
      <c r="D16" s="2" t="n"/>
      <c r="E16" s="2" t="n"/>
      <c r="F16" s="2" t="n"/>
      <c r="G16" s="2" t="n"/>
      <c r="H16" s="2" t="n"/>
      <c r="I16" s="2" t="n"/>
      <c r="J16" s="2" t="n"/>
      <c r="K16" s="2" t="n"/>
      <c r="L16" s="2" t="n"/>
      <c r="M16" s="2" t="n"/>
      <c r="N16" s="2" t="n"/>
      <c r="O16" s="2" t="n"/>
      <c r="P16" s="2" t="n"/>
      <c r="Q16" s="2" t="n"/>
    </row>
    <row r="17">
      <c r="A17" s="2" t="n"/>
      <c r="B17" s="2" t="n"/>
      <c r="C17" s="2" t="n"/>
      <c r="D17" s="2" t="n"/>
      <c r="E17" s="2" t="n"/>
      <c r="F17" s="2" t="n"/>
      <c r="G17" s="2" t="n"/>
      <c r="H17" s="2" t="n"/>
      <c r="I17" s="2" t="n"/>
      <c r="J17" s="2" t="n"/>
      <c r="K17" s="2" t="n"/>
      <c r="L17" s="2" t="n"/>
      <c r="M17" s="2" t="n"/>
      <c r="N17" s="2" t="n"/>
      <c r="O17" s="2" t="n"/>
      <c r="P17" s="2" t="n"/>
      <c r="Q17" s="2" t="n"/>
    </row>
    <row r="18">
      <c r="A18" s="2" t="n"/>
      <c r="B18" s="2" t="n"/>
      <c r="C18" s="2" t="n"/>
      <c r="D18" s="2" t="n"/>
      <c r="E18" s="2" t="n"/>
      <c r="F18" s="2" t="n"/>
      <c r="G18" s="2" t="n"/>
      <c r="H18" s="2" t="n"/>
      <c r="I18" s="2" t="n"/>
      <c r="J18" s="2" t="n"/>
      <c r="K18" s="2" t="n"/>
      <c r="L18" s="2" t="n"/>
      <c r="M18" s="2" t="n"/>
      <c r="N18" s="2" t="n"/>
      <c r="O18" s="2" t="n"/>
      <c r="P18" s="2" t="n"/>
      <c r="Q18" s="2" t="n"/>
    </row>
    <row r="19">
      <c r="A19" s="2" t="n"/>
      <c r="B19" s="2" t="n"/>
      <c r="C19" s="2" t="n"/>
      <c r="D19" s="2" t="n"/>
      <c r="E19" s="2" t="n"/>
      <c r="F19" s="2" t="n"/>
      <c r="G19" s="2" t="n"/>
      <c r="H19" s="2" t="n"/>
      <c r="I19" s="2" t="n"/>
      <c r="J19" s="2" t="n"/>
      <c r="K19" s="2" t="n"/>
      <c r="L19" s="2" t="n"/>
      <c r="M19" s="2" t="n"/>
      <c r="N19" s="2" t="n"/>
      <c r="O19" s="2" t="n"/>
      <c r="P19" s="2" t="n"/>
      <c r="Q19" s="2" t="n"/>
    </row>
    <row r="20">
      <c r="A20" s="2" t="n"/>
      <c r="B20" s="2" t="n"/>
      <c r="C20" s="2" t="n"/>
      <c r="D20" s="2" t="n"/>
      <c r="E20" s="2" t="n"/>
      <c r="F20" s="2" t="n"/>
      <c r="G20" s="2" t="n"/>
      <c r="H20" s="2" t="n"/>
      <c r="I20" s="2" t="n"/>
      <c r="J20" s="2" t="n"/>
      <c r="K20" s="2" t="n"/>
      <c r="L20" s="2" t="n"/>
      <c r="M20" s="2" t="n"/>
      <c r="N20" s="2" t="n"/>
      <c r="O20" s="2" t="n"/>
      <c r="P20" s="2" t="n"/>
      <c r="Q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row>
  </sheetData>
  <mergeCells count="2">
    <mergeCell ref="B4:J4"/>
    <mergeCell ref="C13:J13"/>
  </mergeCells>
  <pageMargins left="0.75" right="0.75" top="1" bottom="1" header="0.5" footer="0.5"/>
  <pageSetup orientation="landscape" fitToHeight="1" fitToWidth="1"/>
</worksheet>
</file>

<file path=xl/worksheets/sheet7.xml><?xml version="1.0" encoding="utf-8"?>
<worksheet xmlns="http://schemas.openxmlformats.org/spreadsheetml/2006/main">
  <sheetPr>
    <outlinePr summaryBelow="0" summaryRight="0"/>
    <pageSetUpPr fitToPage="1"/>
  </sheetPr>
  <dimension ref="A1:AA50"/>
  <sheetViews>
    <sheetView workbookViewId="0">
      <selection activeCell="A1" sqref="A1"/>
    </sheetView>
  </sheetViews>
  <sheetFormatPr baseColWidth="8" defaultColWidth="12.63" defaultRowHeight="15.75" customHeight="1"/>
  <cols>
    <col width="16.13" customWidth="1" style="20" min="1" max="1"/>
    <col width="30" customWidth="1" style="20" min="2" max="2"/>
    <col width="17" customWidth="1" style="20" min="3" max="3"/>
    <col width="17" customWidth="1" style="20" min="4" max="10"/>
    <col width="17" customWidth="1" style="20" min="5" max="5"/>
    <col width="17" customWidth="1" style="20" min="6" max="6"/>
    <col width="17" customWidth="1" style="20" min="7" max="7"/>
    <col width="17" customWidth="1" style="20" min="8" max="8"/>
    <col width="17" customWidth="1" style="20" min="9" max="9"/>
  </cols>
  <sheetData>
    <row r="1" ht="29.25" customHeight="1" s="20">
      <c r="A1" s="2" t="n"/>
      <c r="B1" s="2" t="n"/>
      <c r="C1" s="2" t="n"/>
      <c r="D1" s="2" t="n"/>
      <c r="E1" s="2" t="n"/>
      <c r="F1" s="2" t="n"/>
      <c r="G1" s="2" t="n"/>
      <c r="H1" s="2" t="n"/>
      <c r="I1" s="2" t="n"/>
      <c r="J1" s="2" t="n"/>
      <c r="K1" s="2" t="n"/>
      <c r="L1" s="2" t="n"/>
      <c r="M1" s="2" t="n"/>
      <c r="N1" s="2" t="n"/>
      <c r="O1" s="2" t="n"/>
      <c r="P1" s="2" t="n"/>
      <c r="Q1" s="2" t="n"/>
    </row>
    <row r="2" ht="17.25" customHeight="1" s="20">
      <c r="A2" s="2" t="n"/>
      <c r="B2" s="2" t="inlineStr">
        <is>
          <t>Scores: 1 (worst) – 5 (best). Weighted total = Σ score × weight / 100 (max 5.00)</t>
        </is>
      </c>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c r="A4" s="2" t="n"/>
      <c r="B4" s="25" t="inlineStr">
        <is>
          <t>Decision Matrix for Controllers - Lighting</t>
        </is>
      </c>
      <c r="C4" s="26" t="n"/>
      <c r="D4" s="26" t="n"/>
      <c r="E4" s="26" t="n"/>
      <c r="F4" s="26" t="n"/>
      <c r="G4" s="26" t="n"/>
      <c r="H4" s="26" t="n"/>
      <c r="I4" s="26" t="n"/>
      <c r="J4" s="27" t="n"/>
      <c r="K4" s="2" t="n"/>
      <c r="L4" s="2" t="n"/>
      <c r="M4" s="2" t="n"/>
      <c r="N4" s="2" t="n"/>
      <c r="O4" s="2" t="n"/>
      <c r="P4" s="2" t="n"/>
      <c r="Q4" s="2" t="n"/>
    </row>
    <row r="5">
      <c r="A5" s="2" t="n"/>
      <c r="B5" s="28" t="inlineStr">
        <is>
          <t>Weight %</t>
        </is>
      </c>
      <c r="C5" s="29" t="n">
        <v>20</v>
      </c>
      <c r="D5" s="29" t="n">
        <v>15</v>
      </c>
      <c r="E5" s="29" t="n">
        <v>20</v>
      </c>
      <c r="F5" s="29" t="n">
        <v>15</v>
      </c>
      <c r="G5" s="29" t="n">
        <v>10</v>
      </c>
      <c r="H5" s="29" t="n">
        <v>10</v>
      </c>
      <c r="I5" s="29" t="n">
        <v>10</v>
      </c>
      <c r="J5" s="6" t="n"/>
      <c r="K5" s="2" t="n"/>
      <c r="L5" s="2" t="n"/>
      <c r="M5" s="2" t="n"/>
      <c r="N5" s="2" t="n"/>
      <c r="O5" s="2" t="n"/>
      <c r="P5" s="2" t="n"/>
      <c r="Q5" s="2" t="n"/>
    </row>
    <row r="6" ht="80" customHeight="1" s="20">
      <c r="A6" s="7" t="n"/>
      <c r="B6" s="8" t="inlineStr">
        <is>
          <t>Alternatives</t>
        </is>
      </c>
      <c r="C6" s="30" t="inlineStr">
        <is>
          <t>Protocol fit with hub
[20%]</t>
        </is>
      </c>
      <c r="D6" s="30" t="inlineStr">
        <is>
          <t>Mesh contribution (extends Zigbee network)
[15%]</t>
        </is>
      </c>
      <c r="E6" s="30" t="inlineStr">
        <is>
          <t>Local control / offline operation
[20%]</t>
        </is>
      </c>
      <c r="F6" s="30" t="inlineStr">
        <is>
          <t>Unit cost
[15%]</t>
        </is>
      </c>
      <c r="G6" s="30" t="inlineStr">
        <is>
          <t>Response latency
[10%]</t>
        </is>
      </c>
      <c r="H6" s="30" t="inlineStr">
        <is>
          <t>Installation ease
[10%]</t>
        </is>
      </c>
      <c r="I6" s="30" t="inlineStr">
        <is>
          <t>Dimming / scene features
[10%]</t>
        </is>
      </c>
      <c r="J6" s="10" t="inlineStr">
        <is>
          <t>Total Score</t>
        </is>
      </c>
      <c r="K6" s="11" t="n"/>
      <c r="L6" s="2" t="n"/>
      <c r="M6" s="2" t="n"/>
      <c r="N6" s="2" t="n"/>
      <c r="O6" s="2" t="n"/>
      <c r="P6" s="2" t="n"/>
      <c r="Q6" s="2" t="n"/>
    </row>
    <row r="7" ht="63" customHeight="1" s="20">
      <c r="A7" s="7" t="n"/>
      <c r="B7" s="31" t="inlineStr">
        <is>
          <t>Zigbee smart bulb / switch</t>
        </is>
      </c>
      <c r="C7" s="13" t="n">
        <v>5</v>
      </c>
      <c r="D7" s="13" t="n">
        <v>5</v>
      </c>
      <c r="E7" s="13" t="n">
        <v>5</v>
      </c>
      <c r="F7" s="13" t="n">
        <v>4</v>
      </c>
      <c r="G7" s="13" t="n">
        <v>5</v>
      </c>
      <c r="H7" s="13" t="n">
        <v>5</v>
      </c>
      <c r="I7" s="13" t="n">
        <v>5</v>
      </c>
      <c r="J7" s="32">
        <f>SUMPRODUCT(C7:I7,$C$5:$I$5)/100</f>
        <v/>
      </c>
      <c r="K7" s="11" t="n"/>
      <c r="L7" s="2" t="n"/>
      <c r="M7" s="2" t="n"/>
      <c r="N7" s="2" t="n"/>
      <c r="O7" s="2" t="n"/>
      <c r="P7" s="2" t="n"/>
      <c r="Q7" s="2" t="n"/>
    </row>
    <row r="8" ht="63" customHeight="1" s="20">
      <c r="A8" s="7" t="n"/>
      <c r="B8" s="31" t="inlineStr">
        <is>
          <t>Wi-Fi smart plug</t>
        </is>
      </c>
      <c r="C8" s="13" t="n">
        <v>2</v>
      </c>
      <c r="D8" s="13" t="n">
        <v>1</v>
      </c>
      <c r="E8" s="13" t="n">
        <v>2</v>
      </c>
      <c r="F8" s="13" t="n">
        <v>5</v>
      </c>
      <c r="G8" s="13" t="n">
        <v>3</v>
      </c>
      <c r="H8" s="13" t="n">
        <v>5</v>
      </c>
      <c r="I8" s="13" t="n">
        <v>2</v>
      </c>
      <c r="J8" s="33">
        <f>SUMPRODUCT(C8:I8,$C$5:$I$5)/100</f>
        <v/>
      </c>
      <c r="K8" s="11" t="n"/>
      <c r="L8" s="2" t="n"/>
      <c r="M8" s="2" t="n"/>
      <c r="N8" s="2" t="n"/>
      <c r="O8" s="2" t="n"/>
      <c r="P8" s="2" t="n"/>
      <c r="Q8" s="2" t="n"/>
    </row>
    <row r="9" ht="63" customHeight="1" s="20">
      <c r="A9" s="7" t="n"/>
      <c r="B9" s="31" t="inlineStr">
        <is>
          <t>Z-Wave in-wall switch</t>
        </is>
      </c>
      <c r="C9" s="13" t="n">
        <v>2</v>
      </c>
      <c r="D9" s="13" t="n">
        <v>2</v>
      </c>
      <c r="E9" s="13" t="n">
        <v>5</v>
      </c>
      <c r="F9" s="13" t="n">
        <v>2</v>
      </c>
      <c r="G9" s="13" t="n">
        <v>4</v>
      </c>
      <c r="H9" s="13" t="n">
        <v>2</v>
      </c>
      <c r="I9" s="13" t="n">
        <v>4</v>
      </c>
      <c r="J9" s="33">
        <f>SUMPRODUCT(C9:I9,$C$5:$I$5)/100</f>
        <v/>
      </c>
      <c r="K9" s="11" t="n"/>
      <c r="L9" s="2" t="n"/>
      <c r="M9" s="2" t="n"/>
      <c r="N9" s="2" t="n"/>
      <c r="O9" s="2" t="n"/>
      <c r="P9" s="2" t="n"/>
      <c r="Q9" s="2" t="n"/>
    </row>
    <row r="10">
      <c r="A10" s="2" t="n"/>
      <c r="B10" s="18" t="n"/>
      <c r="C10" s="18" t="n"/>
      <c r="D10" s="18" t="n"/>
      <c r="E10" s="18" t="n"/>
      <c r="F10" s="18" t="n"/>
      <c r="G10" s="18" t="n"/>
      <c r="H10" s="18" t="n"/>
      <c r="I10" s="18" t="n"/>
      <c r="J10" s="18" t="n"/>
      <c r="K10" s="2" t="n"/>
      <c r="L10" s="2" t="n"/>
      <c r="M10" s="2" t="n"/>
      <c r="N10" s="2" t="n"/>
      <c r="O10" s="2" t="n"/>
      <c r="P10" s="2" t="n"/>
      <c r="Q10" s="2" t="n"/>
    </row>
    <row r="11">
      <c r="A11" s="2" t="n"/>
      <c r="B11" s="2" t="n"/>
      <c r="C11" s="2" t="n"/>
      <c r="D11" s="2" t="n"/>
      <c r="E11" s="2" t="n"/>
      <c r="F11" s="2" t="n"/>
      <c r="G11" s="2" t="n"/>
      <c r="H11" s="2" t="n"/>
      <c r="I11" s="2" t="n"/>
      <c r="J11" s="2" t="n"/>
      <c r="K11" s="2" t="n"/>
      <c r="L11" s="2" t="n"/>
      <c r="M11" s="2" t="n"/>
      <c r="N11" s="2" t="n"/>
      <c r="O11" s="2" t="n"/>
      <c r="P11" s="2" t="n"/>
      <c r="Q11" s="2" t="n"/>
    </row>
    <row r="12">
      <c r="A12" s="2" t="n"/>
      <c r="B12" s="2" t="n"/>
      <c r="C12" s="2" t="n"/>
      <c r="D12" s="2" t="n"/>
      <c r="E12" s="2" t="n"/>
      <c r="F12" s="2" t="n"/>
      <c r="G12" s="2" t="n"/>
      <c r="H12" s="2" t="n"/>
      <c r="I12" s="2" t="n"/>
      <c r="J12" s="2" t="n"/>
      <c r="K12" s="2" t="n"/>
      <c r="L12" s="2" t="n"/>
      <c r="M12" s="2" t="n"/>
      <c r="N12" s="2" t="n"/>
      <c r="O12" s="2" t="n"/>
      <c r="P12" s="2" t="n"/>
      <c r="Q12" s="2" t="n"/>
    </row>
    <row r="13" ht="150" customHeight="1" s="20">
      <c r="A13" s="2" t="n"/>
      <c r="B13" s="34" t="inlineStr">
        <is>
          <t>Final decision:</t>
        </is>
      </c>
      <c r="C13" s="35" t="inlineStr">
        <is>
          <t>Option 1, Zigbee bulbs and switches, by a wide margin (4.85). Beyond the obvious points (native hub fit, local control, instant response to alarm scenes) there is a side benefit that decided it: mains-powered Zigbee devices are mesh routers, so every bulb I add makes the battery sensors' network stronger. Wi-Fi plugs are cheap and fine for non-security loads, but they are on/off only and usually cloud-dependent. Z-Wave in-wall switches need an electrician and a second radio, and do nothing for the Zigbee mesh.</t>
        </is>
      </c>
      <c r="D13" s="26" t="n"/>
      <c r="E13" s="26" t="n"/>
      <c r="F13" s="26" t="n"/>
      <c r="G13" s="26" t="n"/>
      <c r="H13" s="26" t="n"/>
      <c r="I13" s="26" t="n"/>
      <c r="J13" s="27" t="n"/>
      <c r="K13" s="2" t="n"/>
      <c r="L13" s="2" t="n"/>
      <c r="M13" s="2" t="n"/>
      <c r="N13" s="2" t="n"/>
      <c r="O13" s="2" t="n"/>
      <c r="P13" s="2" t="n"/>
      <c r="Q13" s="2" t="n"/>
    </row>
    <row r="14">
      <c r="A14" s="2" t="n"/>
      <c r="B14" s="2" t="n"/>
      <c r="C14" s="2" t="n"/>
      <c r="D14" s="2" t="n"/>
      <c r="E14" s="2" t="n"/>
      <c r="F14" s="2" t="n"/>
      <c r="G14" s="2" t="n"/>
      <c r="H14" s="2" t="n"/>
      <c r="I14" s="2" t="n"/>
      <c r="J14" s="2" t="n"/>
      <c r="K14" s="2" t="n"/>
      <c r="L14" s="2" t="n"/>
      <c r="M14" s="2" t="n"/>
      <c r="N14" s="2" t="n"/>
      <c r="O14" s="2" t="n"/>
      <c r="P14" s="2" t="n"/>
      <c r="Q14" s="2" t="n"/>
    </row>
    <row r="15">
      <c r="A15" s="2" t="n"/>
      <c r="B15" s="2" t="n"/>
      <c r="C15" s="2" t="n"/>
      <c r="D15" s="2" t="n"/>
      <c r="E15" s="2" t="n"/>
      <c r="F15" s="2" t="n"/>
      <c r="G15" s="2" t="n"/>
      <c r="H15" s="2" t="n"/>
      <c r="I15" s="2" t="n"/>
      <c r="J15" s="2" t="n"/>
      <c r="K15" s="2" t="n"/>
      <c r="L15" s="2" t="n"/>
      <c r="M15" s="2" t="n"/>
      <c r="N15" s="2" t="n"/>
      <c r="O15" s="2" t="n"/>
      <c r="P15" s="2" t="n"/>
      <c r="Q15" s="2" t="n"/>
    </row>
    <row r="16">
      <c r="A16" s="2" t="n"/>
      <c r="B16" s="2" t="n"/>
      <c r="C16" s="2" t="n"/>
      <c r="D16" s="2" t="n"/>
      <c r="E16" s="2" t="n"/>
      <c r="F16" s="2" t="n"/>
      <c r="G16" s="2" t="n"/>
      <c r="H16" s="2" t="n"/>
      <c r="I16" s="2" t="n"/>
      <c r="J16" s="2" t="n"/>
      <c r="K16" s="2" t="n"/>
      <c r="L16" s="2" t="n"/>
      <c r="M16" s="2" t="n"/>
      <c r="N16" s="2" t="n"/>
      <c r="O16" s="2" t="n"/>
      <c r="P16" s="2" t="n"/>
      <c r="Q16" s="2" t="n"/>
    </row>
    <row r="17">
      <c r="A17" s="2" t="n"/>
      <c r="B17" s="2" t="n"/>
      <c r="C17" s="2" t="n"/>
      <c r="D17" s="2" t="n"/>
      <c r="E17" s="2" t="n"/>
      <c r="F17" s="2" t="n"/>
      <c r="G17" s="2" t="n"/>
      <c r="H17" s="2" t="n"/>
      <c r="I17" s="2" t="n"/>
      <c r="J17" s="2" t="n"/>
      <c r="K17" s="2" t="n"/>
      <c r="L17" s="2" t="n"/>
      <c r="M17" s="2" t="n"/>
      <c r="N17" s="2" t="n"/>
      <c r="O17" s="2" t="n"/>
      <c r="P17" s="2" t="n"/>
      <c r="Q17" s="2" t="n"/>
    </row>
    <row r="18">
      <c r="A18" s="2" t="n"/>
      <c r="B18" s="2" t="n"/>
      <c r="C18" s="2" t="n"/>
      <c r="D18" s="2" t="n"/>
      <c r="E18" s="2" t="n"/>
      <c r="F18" s="2" t="n"/>
      <c r="G18" s="2" t="n"/>
      <c r="H18" s="2" t="n"/>
      <c r="I18" s="2" t="n"/>
      <c r="J18" s="2" t="n"/>
      <c r="K18" s="2" t="n"/>
      <c r="L18" s="2" t="n"/>
      <c r="M18" s="2" t="n"/>
      <c r="N18" s="2" t="n"/>
      <c r="O18" s="2" t="n"/>
      <c r="P18" s="2" t="n"/>
      <c r="Q18" s="2" t="n"/>
    </row>
    <row r="19">
      <c r="A19" s="2" t="n"/>
      <c r="B19" s="2" t="n"/>
      <c r="C19" s="2" t="n"/>
      <c r="D19" s="2" t="n"/>
      <c r="E19" s="2" t="n"/>
      <c r="F19" s="2" t="n"/>
      <c r="G19" s="2" t="n"/>
      <c r="H19" s="2" t="n"/>
      <c r="I19" s="2" t="n"/>
      <c r="J19" s="2" t="n"/>
      <c r="K19" s="2" t="n"/>
      <c r="L19" s="2" t="n"/>
      <c r="M19" s="2" t="n"/>
      <c r="N19" s="2" t="n"/>
      <c r="O19" s="2" t="n"/>
      <c r="P19" s="2" t="n"/>
      <c r="Q19" s="2" t="n"/>
    </row>
    <row r="20">
      <c r="A20" s="2" t="n"/>
      <c r="B20" s="2" t="n"/>
      <c r="C20" s="2" t="n"/>
      <c r="D20" s="2" t="n"/>
      <c r="E20" s="2" t="n"/>
      <c r="F20" s="2" t="n"/>
      <c r="G20" s="2" t="n"/>
      <c r="H20" s="2" t="n"/>
      <c r="I20" s="2" t="n"/>
      <c r="J20" s="2" t="n"/>
      <c r="K20" s="2" t="n"/>
      <c r="L20" s="2" t="n"/>
      <c r="M20" s="2" t="n"/>
      <c r="N20" s="2" t="n"/>
      <c r="O20" s="2" t="n"/>
      <c r="P20" s="2" t="n"/>
      <c r="Q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row>
  </sheetData>
  <mergeCells count="2">
    <mergeCell ref="B4:J4"/>
    <mergeCell ref="C13:J13"/>
  </mergeCells>
  <pageMargins left="0.75" right="0.75" top="1" bottom="1" header="0.5" footer="0.5"/>
  <pageSetup orientation="landscape" fitToHeight="1" fitToWidth="1"/>
</worksheet>
</file>

<file path=xl/worksheets/sheet8.xml><?xml version="1.0" encoding="utf-8"?>
<worksheet xmlns="http://schemas.openxmlformats.org/spreadsheetml/2006/main">
  <sheetPr>
    <outlinePr summaryBelow="0" summaryRight="0"/>
    <pageSetUpPr fitToPage="1"/>
  </sheetPr>
  <dimension ref="A1:AA50"/>
  <sheetViews>
    <sheetView workbookViewId="0">
      <selection activeCell="A1" sqref="A1"/>
    </sheetView>
  </sheetViews>
  <sheetFormatPr baseColWidth="8" defaultColWidth="12.63" defaultRowHeight="15.75" customHeight="1"/>
  <cols>
    <col width="16.13" customWidth="1" style="20" min="1" max="1"/>
    <col width="30" customWidth="1" style="20" min="2" max="2"/>
    <col width="17" customWidth="1" style="20" min="3" max="3"/>
    <col width="17" customWidth="1" style="20" min="4" max="10"/>
    <col width="17" customWidth="1" style="20" min="5" max="5"/>
    <col width="17" customWidth="1" style="20" min="6" max="6"/>
    <col width="17" customWidth="1" style="20" min="7" max="7"/>
    <col width="17" customWidth="1" style="20" min="8" max="8"/>
  </cols>
  <sheetData>
    <row r="1" ht="29.25" customHeight="1" s="20">
      <c r="A1" s="2" t="n"/>
      <c r="B1" s="2" t="n"/>
      <c r="C1" s="2" t="n"/>
      <c r="D1" s="2" t="n"/>
      <c r="E1" s="2" t="n"/>
      <c r="F1" s="2" t="n"/>
      <c r="G1" s="2" t="n"/>
      <c r="H1" s="2" t="n"/>
      <c r="I1" s="2" t="n"/>
      <c r="J1" s="2" t="n"/>
      <c r="K1" s="2" t="n"/>
      <c r="L1" s="2" t="n"/>
      <c r="M1" s="2" t="n"/>
      <c r="N1" s="2" t="n"/>
      <c r="O1" s="2" t="n"/>
      <c r="P1" s="2" t="n"/>
      <c r="Q1" s="2" t="n"/>
    </row>
    <row r="2" ht="17.25" customHeight="1" s="20">
      <c r="A2" s="2" t="n"/>
      <c r="B2" s="2" t="inlineStr">
        <is>
          <t>Scores: 1 (worst) – 5 (best). Weighted total = Σ score × weight / 100 (max 5.00)</t>
        </is>
      </c>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c r="A4" s="2" t="n"/>
      <c r="B4" s="25" t="inlineStr">
        <is>
          <t>Decision Matrix for Controllers - Siren</t>
        </is>
      </c>
      <c r="C4" s="26" t="n"/>
      <c r="D4" s="26" t="n"/>
      <c r="E4" s="26" t="n"/>
      <c r="F4" s="26" t="n"/>
      <c r="G4" s="26" t="n"/>
      <c r="H4" s="26" t="n"/>
      <c r="I4" s="27" t="n"/>
      <c r="K4" s="2" t="n"/>
      <c r="L4" s="2" t="n"/>
      <c r="M4" s="2" t="n"/>
      <c r="N4" s="2" t="n"/>
      <c r="O4" s="2" t="n"/>
      <c r="P4" s="2" t="n"/>
      <c r="Q4" s="2" t="n"/>
    </row>
    <row r="5">
      <c r="A5" s="2" t="n"/>
      <c r="B5" s="28" t="inlineStr">
        <is>
          <t>Weight %</t>
        </is>
      </c>
      <c r="C5" s="29" t="n">
        <v>20</v>
      </c>
      <c r="D5" s="29" t="n">
        <v>25</v>
      </c>
      <c r="E5" s="29" t="n">
        <v>10</v>
      </c>
      <c r="F5" s="29" t="n">
        <v>15</v>
      </c>
      <c r="G5" s="29" t="n">
        <v>15</v>
      </c>
      <c r="H5" s="29" t="n">
        <v>15</v>
      </c>
      <c r="I5" s="6" t="n"/>
      <c r="J5" s="6" t="n"/>
      <c r="K5" s="2" t="n"/>
      <c r="L5" s="2" t="n"/>
      <c r="M5" s="2" t="n"/>
      <c r="N5" s="2" t="n"/>
      <c r="O5" s="2" t="n"/>
      <c r="P5" s="2" t="n"/>
      <c r="Q5" s="2" t="n"/>
    </row>
    <row r="6" ht="80" customHeight="1" s="20">
      <c r="A6" s="7" t="n"/>
      <c r="B6" s="8" t="inlineStr">
        <is>
          <t>Alternatives</t>
        </is>
      </c>
      <c r="C6" s="30" t="inlineStr">
        <is>
          <t>Loudness
[20%]</t>
        </is>
      </c>
      <c r="D6" s="30" t="inlineStr">
        <is>
          <t>Reliability during power / Wi-Fi outage
[25%]</t>
        </is>
      </c>
      <c r="E6" s="30" t="inlineStr">
        <is>
          <t>Cost
[10%]</t>
        </is>
      </c>
      <c r="F6" s="30" t="inlineStr">
        <is>
          <t>Installation
[15%]</t>
        </is>
      </c>
      <c r="G6" s="30" t="inlineStr">
        <is>
          <t>Protocol fit
[15%]</t>
        </is>
      </c>
      <c r="H6" s="30" t="inlineStr">
        <is>
          <t>Tamper / supervision
[15%]</t>
        </is>
      </c>
      <c r="I6" s="10" t="inlineStr">
        <is>
          <t>Total Score</t>
        </is>
      </c>
      <c r="J6" s="2" t="n"/>
      <c r="K6" s="11" t="n"/>
      <c r="L6" s="2" t="n"/>
      <c r="M6" s="2" t="n"/>
      <c r="N6" s="2" t="n"/>
      <c r="O6" s="2" t="n"/>
      <c r="P6" s="2" t="n"/>
      <c r="Q6" s="2" t="n"/>
    </row>
    <row r="7" ht="63" customHeight="1" s="20">
      <c r="A7" s="7" t="n"/>
      <c r="B7" s="31" t="inlineStr">
        <is>
          <t>Zigbee indoor siren (battery + mains)</t>
        </is>
      </c>
      <c r="C7" s="13" t="n">
        <v>3</v>
      </c>
      <c r="D7" s="13" t="n">
        <v>4</v>
      </c>
      <c r="E7" s="13" t="n">
        <v>4</v>
      </c>
      <c r="F7" s="13" t="n">
        <v>5</v>
      </c>
      <c r="G7" s="13" t="n">
        <v>5</v>
      </c>
      <c r="H7" s="13" t="n">
        <v>4</v>
      </c>
      <c r="I7" s="33">
        <f>SUMPRODUCT(C7:H7,$C$5:$H$5)/100</f>
        <v/>
      </c>
      <c r="J7" s="2" t="n"/>
      <c r="K7" s="11" t="n"/>
      <c r="L7" s="2" t="n"/>
      <c r="M7" s="2" t="n"/>
      <c r="N7" s="2" t="n"/>
      <c r="O7" s="2" t="n"/>
      <c r="P7" s="2" t="n"/>
      <c r="Q7" s="2" t="n"/>
    </row>
    <row r="8" ht="63" customHeight="1" s="20">
      <c r="A8" s="7" t="n"/>
      <c r="B8" s="31" t="inlineStr">
        <is>
          <t>Wired 12 V siren on CCU relay output</t>
        </is>
      </c>
      <c r="C8" s="13" t="n">
        <v>5</v>
      </c>
      <c r="D8" s="13" t="n">
        <v>5</v>
      </c>
      <c r="E8" s="13" t="n">
        <v>3</v>
      </c>
      <c r="F8" s="13" t="n">
        <v>2</v>
      </c>
      <c r="G8" s="13" t="n">
        <v>4</v>
      </c>
      <c r="H8" s="13" t="n">
        <v>5</v>
      </c>
      <c r="I8" s="32">
        <f>SUMPRODUCT(C8:H8,$C$5:$H$5)/100</f>
        <v/>
      </c>
      <c r="J8" s="2" t="n"/>
      <c r="K8" s="11" t="n"/>
      <c r="L8" s="2" t="n"/>
      <c r="M8" s="2" t="n"/>
      <c r="N8" s="2" t="n"/>
      <c r="O8" s="2" t="n"/>
      <c r="P8" s="2" t="n"/>
      <c r="Q8" s="2" t="n"/>
    </row>
    <row r="9" ht="63" customHeight="1" s="20">
      <c r="A9" s="7" t="n"/>
      <c r="B9" s="31" t="inlineStr">
        <is>
          <t>Wi-Fi siren</t>
        </is>
      </c>
      <c r="C9" s="13" t="n">
        <v>3</v>
      </c>
      <c r="D9" s="13" t="n">
        <v>1</v>
      </c>
      <c r="E9" s="13" t="n">
        <v>3</v>
      </c>
      <c r="F9" s="13" t="n">
        <v>4</v>
      </c>
      <c r="G9" s="13" t="n">
        <v>2</v>
      </c>
      <c r="H9" s="13" t="n">
        <v>2</v>
      </c>
      <c r="I9" s="33">
        <f>SUMPRODUCT(C9:H9,$C$5:$H$5)/100</f>
        <v/>
      </c>
      <c r="J9" s="2" t="n"/>
      <c r="K9" s="11" t="n"/>
      <c r="L9" s="2" t="n"/>
      <c r="M9" s="2" t="n"/>
      <c r="N9" s="2" t="n"/>
      <c r="O9" s="2" t="n"/>
      <c r="P9" s="2" t="n"/>
      <c r="Q9" s="2" t="n"/>
    </row>
    <row r="10">
      <c r="A10" s="2" t="n"/>
      <c r="B10" s="18" t="n"/>
      <c r="C10" s="18" t="n"/>
      <c r="D10" s="18" t="n"/>
      <c r="E10" s="18" t="n"/>
      <c r="F10" s="18" t="n"/>
      <c r="G10" s="18" t="n"/>
      <c r="H10" s="18" t="n"/>
      <c r="I10" s="18" t="n"/>
      <c r="J10" s="18" t="n"/>
      <c r="K10" s="2" t="n"/>
      <c r="L10" s="2" t="n"/>
      <c r="M10" s="2" t="n"/>
      <c r="N10" s="2" t="n"/>
      <c r="O10" s="2" t="n"/>
      <c r="P10" s="2" t="n"/>
      <c r="Q10" s="2" t="n"/>
    </row>
    <row r="11">
      <c r="A11" s="2" t="n"/>
      <c r="B11" s="2" t="n"/>
      <c r="C11" s="2" t="n"/>
      <c r="D11" s="2" t="n"/>
      <c r="E11" s="2" t="n"/>
      <c r="F11" s="2" t="n"/>
      <c r="G11" s="2" t="n"/>
      <c r="H11" s="2" t="n"/>
      <c r="I11" s="2" t="n"/>
      <c r="J11" s="2" t="n"/>
      <c r="K11" s="2" t="n"/>
      <c r="L11" s="2" t="n"/>
      <c r="M11" s="2" t="n"/>
      <c r="N11" s="2" t="n"/>
      <c r="O11" s="2" t="n"/>
      <c r="P11" s="2" t="n"/>
      <c r="Q11" s="2" t="n"/>
    </row>
    <row r="12">
      <c r="A12" s="2" t="n"/>
      <c r="B12" s="2" t="n"/>
      <c r="C12" s="2" t="n"/>
      <c r="D12" s="2" t="n"/>
      <c r="E12" s="2" t="n"/>
      <c r="F12" s="2" t="n"/>
      <c r="G12" s="2" t="n"/>
      <c r="H12" s="2" t="n"/>
      <c r="I12" s="2" t="n"/>
      <c r="J12" s="2" t="n"/>
      <c r="K12" s="2" t="n"/>
      <c r="L12" s="2" t="n"/>
      <c r="M12" s="2" t="n"/>
      <c r="N12" s="2" t="n"/>
      <c r="O12" s="2" t="n"/>
      <c r="P12" s="2" t="n"/>
      <c r="Q12" s="2" t="n"/>
    </row>
    <row r="13" ht="150" customHeight="1" s="20">
      <c r="A13" s="2" t="n"/>
      <c r="B13" s="34" t="inlineStr">
        <is>
          <t>Final decision:</t>
        </is>
      </c>
      <c r="C13" s="35" t="inlineStr">
        <is>
          <t>This is the one matrix where the winner on paper is not the whole answer. The wired 12 V siren scores highest (4.20) because loudness and reliability during a power or network outage are the heaviest criteria, and a siren hanging off the battery-backed CCU through a supervised, tamper-protected loop is as reliable as it gets. The Zigbee indoor siren is only a tenth behind thanks to easy installation and hub fit. So the design uses both: a Zigbee siren indoors (quick to fit, loud enough at 95 dB) and a wired 12 V siren with strobe outdoors for deterrence and so the neighbours notice. The Wi-Fi siren was never a serious candidate; it goes quiet exactly when the network fails, which is when you need it.</t>
        </is>
      </c>
      <c r="D13" s="26" t="n"/>
      <c r="E13" s="26" t="n"/>
      <c r="F13" s="26" t="n"/>
      <c r="G13" s="26" t="n"/>
      <c r="H13" s="26" t="n"/>
      <c r="I13" s="27" t="n"/>
      <c r="J13" s="2" t="n"/>
      <c r="K13" s="2" t="n"/>
      <c r="L13" s="2" t="n"/>
      <c r="M13" s="2" t="n"/>
      <c r="N13" s="2" t="n"/>
      <c r="O13" s="2" t="n"/>
      <c r="P13" s="2" t="n"/>
      <c r="Q13" s="2" t="n"/>
    </row>
    <row r="14">
      <c r="A14" s="2" t="n"/>
      <c r="B14" s="2" t="n"/>
      <c r="C14" s="2" t="n"/>
      <c r="D14" s="2" t="n"/>
      <c r="E14" s="2" t="n"/>
      <c r="F14" s="2" t="n"/>
      <c r="G14" s="2" t="n"/>
      <c r="H14" s="2" t="n"/>
      <c r="I14" s="2" t="n"/>
      <c r="J14" s="2" t="n"/>
      <c r="K14" s="2" t="n"/>
      <c r="L14" s="2" t="n"/>
      <c r="M14" s="2" t="n"/>
      <c r="N14" s="2" t="n"/>
      <c r="O14" s="2" t="n"/>
      <c r="P14" s="2" t="n"/>
      <c r="Q14" s="2" t="n"/>
    </row>
    <row r="15">
      <c r="A15" s="2" t="n"/>
      <c r="B15" s="2" t="n"/>
      <c r="C15" s="2" t="n"/>
      <c r="D15" s="2" t="n"/>
      <c r="E15" s="2" t="n"/>
      <c r="F15" s="2" t="n"/>
      <c r="G15" s="2" t="n"/>
      <c r="H15" s="2" t="n"/>
      <c r="I15" s="2" t="n"/>
      <c r="J15" s="2" t="n"/>
      <c r="K15" s="2" t="n"/>
      <c r="L15" s="2" t="n"/>
      <c r="M15" s="2" t="n"/>
      <c r="N15" s="2" t="n"/>
      <c r="O15" s="2" t="n"/>
      <c r="P15" s="2" t="n"/>
      <c r="Q15" s="2" t="n"/>
    </row>
    <row r="16">
      <c r="A16" s="2" t="n"/>
      <c r="B16" s="2" t="n"/>
      <c r="C16" s="2" t="n"/>
      <c r="D16" s="2" t="n"/>
      <c r="E16" s="2" t="n"/>
      <c r="F16" s="2" t="n"/>
      <c r="G16" s="2" t="n"/>
      <c r="H16" s="2" t="n"/>
      <c r="I16" s="2" t="n"/>
      <c r="J16" s="2" t="n"/>
      <c r="K16" s="2" t="n"/>
      <c r="L16" s="2" t="n"/>
      <c r="M16" s="2" t="n"/>
      <c r="N16" s="2" t="n"/>
      <c r="O16" s="2" t="n"/>
      <c r="P16" s="2" t="n"/>
      <c r="Q16" s="2" t="n"/>
    </row>
    <row r="17">
      <c r="A17" s="2" t="n"/>
      <c r="B17" s="2" t="n"/>
      <c r="C17" s="2" t="n"/>
      <c r="D17" s="2" t="n"/>
      <c r="E17" s="2" t="n"/>
      <c r="F17" s="2" t="n"/>
      <c r="G17" s="2" t="n"/>
      <c r="H17" s="2" t="n"/>
      <c r="I17" s="2" t="n"/>
      <c r="J17" s="2" t="n"/>
      <c r="K17" s="2" t="n"/>
      <c r="L17" s="2" t="n"/>
      <c r="M17" s="2" t="n"/>
      <c r="N17" s="2" t="n"/>
      <c r="O17" s="2" t="n"/>
      <c r="P17" s="2" t="n"/>
      <c r="Q17" s="2" t="n"/>
    </row>
    <row r="18">
      <c r="A18" s="2" t="n"/>
      <c r="B18" s="2" t="n"/>
      <c r="C18" s="2" t="n"/>
      <c r="D18" s="2" t="n"/>
      <c r="E18" s="2" t="n"/>
      <c r="F18" s="2" t="n"/>
      <c r="G18" s="2" t="n"/>
      <c r="H18" s="2" t="n"/>
      <c r="I18" s="2" t="n"/>
      <c r="J18" s="2" t="n"/>
      <c r="K18" s="2" t="n"/>
      <c r="L18" s="2" t="n"/>
      <c r="M18" s="2" t="n"/>
      <c r="N18" s="2" t="n"/>
      <c r="O18" s="2" t="n"/>
      <c r="P18" s="2" t="n"/>
      <c r="Q18" s="2" t="n"/>
    </row>
    <row r="19">
      <c r="A19" s="2" t="n"/>
      <c r="B19" s="2" t="n"/>
      <c r="C19" s="2" t="n"/>
      <c r="D19" s="2" t="n"/>
      <c r="E19" s="2" t="n"/>
      <c r="F19" s="2" t="n"/>
      <c r="G19" s="2" t="n"/>
      <c r="H19" s="2" t="n"/>
      <c r="I19" s="2" t="n"/>
      <c r="J19" s="2" t="n"/>
      <c r="K19" s="2" t="n"/>
      <c r="L19" s="2" t="n"/>
      <c r="M19" s="2" t="n"/>
      <c r="N19" s="2" t="n"/>
      <c r="O19" s="2" t="n"/>
      <c r="P19" s="2" t="n"/>
      <c r="Q19" s="2" t="n"/>
    </row>
    <row r="20">
      <c r="A20" s="2" t="n"/>
      <c r="B20" s="2" t="n"/>
      <c r="C20" s="2" t="n"/>
      <c r="D20" s="2" t="n"/>
      <c r="E20" s="2" t="n"/>
      <c r="F20" s="2" t="n"/>
      <c r="G20" s="2" t="n"/>
      <c r="H20" s="2" t="n"/>
      <c r="I20" s="2" t="n"/>
      <c r="J20" s="2" t="n"/>
      <c r="K20" s="2" t="n"/>
      <c r="L20" s="2" t="n"/>
      <c r="M20" s="2" t="n"/>
      <c r="N20" s="2" t="n"/>
      <c r="O20" s="2" t="n"/>
      <c r="P20" s="2" t="n"/>
      <c r="Q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row>
  </sheetData>
  <mergeCells count="2">
    <mergeCell ref="B4:I4"/>
    <mergeCell ref="C13:I13"/>
  </mergeCells>
  <pageMargins left="0.75" right="0.75" top="1" bottom="1" header="0.5" footer="0.5"/>
  <pageSetup orientation="landscape" fitToHeight="1" fitToWidth="1"/>
</worksheet>
</file>

<file path=xl/worksheets/sheet9.xml><?xml version="1.0" encoding="utf-8"?>
<worksheet xmlns="http://schemas.openxmlformats.org/spreadsheetml/2006/main">
  <sheetPr>
    <outlinePr summaryBelow="0" summaryRight="0"/>
    <pageSetUpPr fitToPage="1"/>
  </sheetPr>
  <dimension ref="A1:AA50"/>
  <sheetViews>
    <sheetView workbookViewId="0">
      <selection activeCell="A1" sqref="A1"/>
    </sheetView>
  </sheetViews>
  <sheetFormatPr baseColWidth="8" defaultColWidth="12.63" defaultRowHeight="15.75" customHeight="1"/>
  <cols>
    <col width="16.13" customWidth="1" style="20" min="1" max="1"/>
    <col width="30" customWidth="1" style="20" min="2" max="2"/>
    <col width="17" customWidth="1" style="20" min="3" max="3"/>
    <col width="17" customWidth="1" style="20" min="4" max="10"/>
    <col width="17" customWidth="1" style="20" min="5" max="5"/>
    <col width="17" customWidth="1" style="20" min="6" max="6"/>
    <col width="17" customWidth="1" style="20" min="7" max="7"/>
    <col width="17" customWidth="1" style="20" min="8" max="8"/>
    <col width="17" customWidth="1" style="20" min="9" max="9"/>
    <col width="17" customWidth="1" style="20" min="10" max="10"/>
    <col width="17" customWidth="1" style="20" min="11" max="11"/>
  </cols>
  <sheetData>
    <row r="1" ht="29.25" customHeight="1" s="20">
      <c r="A1" s="2" t="n"/>
      <c r="B1" s="2" t="n"/>
      <c r="C1" s="2" t="n"/>
      <c r="D1" s="2" t="n"/>
      <c r="E1" s="2" t="n"/>
      <c r="F1" s="2" t="n"/>
      <c r="G1" s="2" t="n"/>
      <c r="H1" s="2" t="n"/>
      <c r="I1" s="2" t="n"/>
      <c r="J1" s="2" t="n"/>
      <c r="K1" s="2" t="n"/>
      <c r="L1" s="2" t="n"/>
      <c r="M1" s="2" t="n"/>
      <c r="N1" s="2" t="n"/>
      <c r="O1" s="2" t="n"/>
      <c r="P1" s="2" t="n"/>
      <c r="Q1" s="2" t="n"/>
    </row>
    <row r="2" ht="17.25" customHeight="1" s="20">
      <c r="A2" s="2" t="n"/>
      <c r="B2" s="2" t="inlineStr">
        <is>
          <t>Scores: 1 (worst) – 5 (best). Weighted total = Σ score × weight / 100 (max 5.00)</t>
        </is>
      </c>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c r="A4" s="2" t="n"/>
      <c r="B4" s="25" t="inlineStr">
        <is>
          <t>Decision Matrix for Server - Local vs Cloud</t>
        </is>
      </c>
      <c r="C4" s="26" t="n"/>
      <c r="D4" s="26" t="n"/>
      <c r="E4" s="26" t="n"/>
      <c r="F4" s="26" t="n"/>
      <c r="G4" s="26" t="n"/>
      <c r="H4" s="26" t="n"/>
      <c r="I4" s="26" t="n"/>
      <c r="J4" s="26" t="n"/>
      <c r="K4" s="26" t="n"/>
      <c r="L4" s="27" t="n"/>
      <c r="M4" s="2" t="n"/>
      <c r="N4" s="2" t="n"/>
      <c r="O4" s="2" t="n"/>
      <c r="P4" s="2" t="n"/>
      <c r="Q4" s="2" t="n"/>
    </row>
    <row r="5">
      <c r="A5" s="2" t="n"/>
      <c r="B5" s="28" t="inlineStr">
        <is>
          <t>Weight %</t>
        </is>
      </c>
      <c r="C5" s="29" t="n">
        <v>10</v>
      </c>
      <c r="D5" s="29" t="n">
        <v>20</v>
      </c>
      <c r="E5" s="29" t="n">
        <v>15</v>
      </c>
      <c r="F5" s="29" t="n">
        <v>10</v>
      </c>
      <c r="G5" s="29" t="n">
        <v>5</v>
      </c>
      <c r="H5" s="29" t="n">
        <v>10</v>
      </c>
      <c r="I5" s="29" t="n">
        <v>5</v>
      </c>
      <c r="J5" s="29" t="n">
        <v>10</v>
      </c>
      <c r="K5" s="36" t="n">
        <v>15</v>
      </c>
      <c r="L5" s="2" t="n"/>
      <c r="M5" s="2" t="n"/>
      <c r="N5" s="2" t="n"/>
      <c r="O5" s="2" t="n"/>
      <c r="P5" s="2" t="n"/>
      <c r="Q5" s="2" t="n"/>
    </row>
    <row r="6" ht="80" customHeight="1" s="20">
      <c r="A6" s="7" t="n"/>
      <c r="B6" s="8" t="inlineStr">
        <is>
          <t>Alternatives</t>
        </is>
      </c>
      <c r="C6" s="30" t="inlineStr">
        <is>
          <t>Alarm response latency
[10%]</t>
        </is>
      </c>
      <c r="D6" s="30" t="inlineStr">
        <is>
          <t>Reliability / operation during internet outage
[20%]</t>
        </is>
      </c>
      <c r="E6" s="30" t="inlineStr">
        <is>
          <t>Privacy / data sovereignty
[15%]</t>
        </is>
      </c>
      <c r="F6" s="30" t="inlineStr">
        <is>
          <t>Remote access convenience
[10%]</t>
        </is>
      </c>
      <c r="G6" s="30" t="inlineStr">
        <is>
          <t>Upfront cost
[5%]</t>
        </is>
      </c>
      <c r="H6" s="30" t="inlineStr">
        <is>
          <t>Recurring cost (5-year TCO)
[10%]</t>
        </is>
      </c>
      <c r="I6" s="30" t="inlineStr">
        <is>
          <t>Scalability
[5%]</t>
        </is>
      </c>
      <c r="J6" s="30" t="inlineStr">
        <is>
          <t>Maintenance burden
[10%]</t>
        </is>
      </c>
      <c r="K6" s="30" t="inlineStr">
        <is>
          <t>Security attack surface
[15%]</t>
        </is>
      </c>
      <c r="L6" s="10" t="inlineStr">
        <is>
          <t>Total Score</t>
        </is>
      </c>
      <c r="M6" s="2" t="n"/>
      <c r="N6" s="2" t="n"/>
      <c r="O6" s="2" t="n"/>
      <c r="P6" s="2" t="n"/>
      <c r="Q6" s="2" t="n"/>
    </row>
    <row r="7" ht="63" customHeight="1" s="20">
      <c r="A7" s="7" t="n"/>
      <c r="B7" s="31" t="inlineStr">
        <is>
          <t>Local-only server (on-premises mini PC, no cloud)</t>
        </is>
      </c>
      <c r="C7" s="13" t="n">
        <v>5</v>
      </c>
      <c r="D7" s="13" t="n">
        <v>4</v>
      </c>
      <c r="E7" s="13" t="n">
        <v>5</v>
      </c>
      <c r="F7" s="13" t="n">
        <v>1</v>
      </c>
      <c r="G7" s="13" t="n">
        <v>2</v>
      </c>
      <c r="H7" s="13" t="n">
        <v>5</v>
      </c>
      <c r="I7" s="13" t="n">
        <v>3</v>
      </c>
      <c r="J7" s="13" t="n">
        <v>2</v>
      </c>
      <c r="K7" s="13" t="n">
        <v>4</v>
      </c>
      <c r="L7" s="33">
        <f>SUMPRODUCT(C7:K7,$C$5:$K$5)/100</f>
        <v/>
      </c>
      <c r="M7" s="2" t="n"/>
      <c r="N7" s="2" t="n"/>
      <c r="O7" s="2" t="n"/>
      <c r="P7" s="2" t="n"/>
      <c r="Q7" s="2" t="n"/>
    </row>
    <row r="8" ht="63" customHeight="1" s="20">
      <c r="A8" s="7" t="n"/>
      <c r="B8" s="31" t="inlineStr">
        <is>
          <t>Cloud-only (all logic and storage in vendor cloud, dumb hub)</t>
        </is>
      </c>
      <c r="C8" s="13" t="n">
        <v>2</v>
      </c>
      <c r="D8" s="13" t="n">
        <v>1</v>
      </c>
      <c r="E8" s="13" t="n">
        <v>1</v>
      </c>
      <c r="F8" s="13" t="n">
        <v>5</v>
      </c>
      <c r="G8" s="13" t="n">
        <v>5</v>
      </c>
      <c r="H8" s="13" t="n">
        <v>1</v>
      </c>
      <c r="I8" s="13" t="n">
        <v>5</v>
      </c>
      <c r="J8" s="13" t="n">
        <v>5</v>
      </c>
      <c r="K8" s="13" t="n">
        <v>2</v>
      </c>
      <c r="L8" s="33">
        <f>SUMPRODUCT(C8:K8,$C$5:$K$5)/100</f>
        <v/>
      </c>
      <c r="M8" s="2" t="n"/>
      <c r="N8" s="2" t="n"/>
      <c r="O8" s="2" t="n"/>
      <c r="P8" s="2" t="n"/>
      <c r="Q8" s="2" t="n"/>
    </row>
    <row r="9" ht="63" customHeight="1" s="20">
      <c r="A9" s="7" t="n"/>
      <c r="B9" s="31" t="inlineStr">
        <is>
          <t>Hybrid: local-first server + cloud relay (remote access, push, backup)</t>
        </is>
      </c>
      <c r="C9" s="13" t="n">
        <v>5</v>
      </c>
      <c r="D9" s="13" t="n">
        <v>5</v>
      </c>
      <c r="E9" s="13" t="n">
        <v>4</v>
      </c>
      <c r="F9" s="13" t="n">
        <v>5</v>
      </c>
      <c r="G9" s="13" t="n">
        <v>2</v>
      </c>
      <c r="H9" s="13" t="n">
        <v>3</v>
      </c>
      <c r="I9" s="13" t="n">
        <v>4</v>
      </c>
      <c r="J9" s="13" t="n">
        <v>3</v>
      </c>
      <c r="K9" s="13" t="n">
        <v>3</v>
      </c>
      <c r="L9" s="32">
        <f>SUMPRODUCT(C9:K9,$C$5:$K$5)/100</f>
        <v/>
      </c>
      <c r="M9" s="2" t="n"/>
      <c r="N9" s="2" t="n"/>
      <c r="O9" s="2" t="n"/>
      <c r="P9" s="2" t="n"/>
      <c r="Q9" s="2" t="n"/>
    </row>
    <row r="10">
      <c r="A10" s="2" t="n"/>
      <c r="B10" s="18" t="n"/>
      <c r="C10" s="18" t="n"/>
      <c r="D10" s="18" t="n"/>
      <c r="E10" s="18" t="n"/>
      <c r="F10" s="18" t="n"/>
      <c r="G10" s="18" t="n"/>
      <c r="H10" s="18" t="n"/>
      <c r="I10" s="18" t="n"/>
      <c r="J10" s="18" t="n"/>
      <c r="K10" s="2" t="n"/>
      <c r="L10" s="2" t="n"/>
      <c r="M10" s="2" t="n"/>
      <c r="N10" s="2" t="n"/>
      <c r="O10" s="2" t="n"/>
      <c r="P10" s="2" t="n"/>
      <c r="Q10" s="2" t="n"/>
    </row>
    <row r="11">
      <c r="A11" s="2" t="n"/>
      <c r="B11" s="2" t="n"/>
      <c r="C11" s="2" t="n"/>
      <c r="D11" s="2" t="n"/>
      <c r="E11" s="2" t="n"/>
      <c r="F11" s="2" t="n"/>
      <c r="G11" s="2" t="n"/>
      <c r="H11" s="2" t="n"/>
      <c r="I11" s="2" t="n"/>
      <c r="J11" s="2" t="n"/>
      <c r="K11" s="2" t="n"/>
      <c r="L11" s="2" t="n"/>
      <c r="M11" s="2" t="n"/>
      <c r="N11" s="2" t="n"/>
      <c r="O11" s="2" t="n"/>
      <c r="P11" s="2" t="n"/>
      <c r="Q11" s="2" t="n"/>
    </row>
    <row r="12">
      <c r="A12" s="2" t="n"/>
      <c r="B12" s="2" t="n"/>
      <c r="C12" s="2" t="n"/>
      <c r="D12" s="2" t="n"/>
      <c r="E12" s="2" t="n"/>
      <c r="F12" s="2" t="n"/>
      <c r="G12" s="2" t="n"/>
      <c r="H12" s="2" t="n"/>
      <c r="I12" s="2" t="n"/>
      <c r="J12" s="2" t="n"/>
      <c r="K12" s="2" t="n"/>
      <c r="L12" s="2" t="n"/>
      <c r="M12" s="2" t="n"/>
      <c r="N12" s="2" t="n"/>
      <c r="O12" s="2" t="n"/>
      <c r="P12" s="2" t="n"/>
      <c r="Q12" s="2" t="n"/>
    </row>
    <row r="13" ht="230" customHeight="1" s="20">
      <c r="A13" s="2" t="n"/>
      <c r="B13" s="34" t="inlineStr">
        <is>
          <t>Final decision:</t>
        </is>
      </c>
      <c r="C13" s="35" t="inlineStr">
        <is>
          <t>Option 3, the hybrid local-first server with a thin cloud relay (3.95), ahead of local-only (3.70) and cloud-only (2.45). I spent most of my trade-off time on this matrix because every other decision depends on it. Everything that matters for safety (sensor processing, alarm logic, automations, recording) runs on the mini PC in the house, so alarm latency and behaviour during an internet outage are identical to the local-only design and nothing like cloud-only, where the house is unprotected the moment the ISP link drops. The cloud part is deliberately small: an outbound TLS relay so the app and push notifications work from anywhere without opening ports on the router, plus an encrypted off-site copy of configuration and event logs. That keeps video and personal data at home (I scored privacy 4 against 1 for a vendor cloud), keeps the attack surface smaller than a home-exposed server, and keeps running costs low because no video goes to the cloud. Local-only was genuinely close and I went back and forth on it; what sank it was remote access: asking a family to configure a VPN and giving up push notifications is not realistic for a consumer product, and a stolen server takes the only copy of the logs with it. Cloud-only wins on upfront cost, maintenance and scalability, but loses on the criteria I weighted most: outage behaviour, privacy, 5-year cost and attack surface.</t>
        </is>
      </c>
      <c r="D13" s="26" t="n"/>
      <c r="E13" s="26" t="n"/>
      <c r="F13" s="26" t="n"/>
      <c r="G13" s="26" t="n"/>
      <c r="H13" s="26" t="n"/>
      <c r="I13" s="26" t="n"/>
      <c r="J13" s="26" t="n"/>
      <c r="K13" s="26" t="n"/>
      <c r="L13" s="27" t="n"/>
      <c r="M13" s="2" t="n"/>
      <c r="N13" s="2" t="n"/>
      <c r="O13" s="2" t="n"/>
      <c r="P13" s="2" t="n"/>
      <c r="Q13" s="2" t="n"/>
    </row>
    <row r="14">
      <c r="A14" s="2" t="n"/>
      <c r="B14" s="2" t="n"/>
      <c r="C14" s="2" t="n"/>
      <c r="D14" s="2" t="n"/>
      <c r="E14" s="2" t="n"/>
      <c r="F14" s="2" t="n"/>
      <c r="G14" s="2" t="n"/>
      <c r="H14" s="2" t="n"/>
      <c r="I14" s="2" t="n"/>
      <c r="J14" s="2" t="n"/>
      <c r="K14" s="2" t="n"/>
      <c r="L14" s="2" t="n"/>
      <c r="M14" s="2" t="n"/>
      <c r="N14" s="2" t="n"/>
      <c r="O14" s="2" t="n"/>
      <c r="P14" s="2" t="n"/>
      <c r="Q14" s="2" t="n"/>
    </row>
    <row r="15">
      <c r="A15" s="2" t="n"/>
      <c r="B15" s="2" t="n"/>
      <c r="C15" s="2" t="n"/>
      <c r="D15" s="2" t="n"/>
      <c r="E15" s="2" t="n"/>
      <c r="F15" s="2" t="n"/>
      <c r="G15" s="2" t="n"/>
      <c r="H15" s="2" t="n"/>
      <c r="I15" s="2" t="n"/>
      <c r="J15" s="2" t="n"/>
      <c r="K15" s="2" t="n"/>
      <c r="L15" s="2" t="n"/>
      <c r="M15" s="2" t="n"/>
      <c r="N15" s="2" t="n"/>
      <c r="O15" s="2" t="n"/>
      <c r="P15" s="2" t="n"/>
      <c r="Q15" s="2" t="n"/>
    </row>
    <row r="16">
      <c r="A16" s="2" t="n"/>
      <c r="B16" s="2" t="n"/>
      <c r="C16" s="2" t="n"/>
      <c r="D16" s="2" t="n"/>
      <c r="E16" s="2" t="n"/>
      <c r="F16" s="2" t="n"/>
      <c r="G16" s="2" t="n"/>
      <c r="H16" s="2" t="n"/>
      <c r="I16" s="2" t="n"/>
      <c r="J16" s="2" t="n"/>
      <c r="K16" s="2" t="n"/>
      <c r="L16" s="2" t="n"/>
      <c r="M16" s="2" t="n"/>
      <c r="N16" s="2" t="n"/>
      <c r="O16" s="2" t="n"/>
      <c r="P16" s="2" t="n"/>
      <c r="Q16" s="2" t="n"/>
    </row>
    <row r="17">
      <c r="A17" s="2" t="n"/>
      <c r="B17" s="2" t="n"/>
      <c r="C17" s="2" t="n"/>
      <c r="D17" s="2" t="n"/>
      <c r="E17" s="2" t="n"/>
      <c r="F17" s="2" t="n"/>
      <c r="G17" s="2" t="n"/>
      <c r="H17" s="2" t="n"/>
      <c r="I17" s="2" t="n"/>
      <c r="J17" s="2" t="n"/>
      <c r="K17" s="2" t="n"/>
      <c r="L17" s="2" t="n"/>
      <c r="M17" s="2" t="n"/>
      <c r="N17" s="2" t="n"/>
      <c r="O17" s="2" t="n"/>
      <c r="P17" s="2" t="n"/>
      <c r="Q17" s="2" t="n"/>
    </row>
    <row r="18">
      <c r="A18" s="2" t="n"/>
      <c r="B18" s="2" t="n"/>
      <c r="C18" s="2" t="n"/>
      <c r="D18" s="2" t="n"/>
      <c r="E18" s="2" t="n"/>
      <c r="F18" s="2" t="n"/>
      <c r="G18" s="2" t="n"/>
      <c r="H18" s="2" t="n"/>
      <c r="I18" s="2" t="n"/>
      <c r="J18" s="2" t="n"/>
      <c r="K18" s="2" t="n"/>
      <c r="L18" s="2" t="n"/>
      <c r="M18" s="2" t="n"/>
      <c r="N18" s="2" t="n"/>
      <c r="O18" s="2" t="n"/>
      <c r="P18" s="2" t="n"/>
      <c r="Q18" s="2" t="n"/>
    </row>
    <row r="19">
      <c r="A19" s="2" t="n"/>
      <c r="B19" s="2" t="n"/>
      <c r="C19" s="2" t="n"/>
      <c r="D19" s="2" t="n"/>
      <c r="E19" s="2" t="n"/>
      <c r="F19" s="2" t="n"/>
      <c r="G19" s="2" t="n"/>
      <c r="H19" s="2" t="n"/>
      <c r="I19" s="2" t="n"/>
      <c r="J19" s="2" t="n"/>
      <c r="K19" s="2" t="n"/>
      <c r="L19" s="2" t="n"/>
      <c r="M19" s="2" t="n"/>
      <c r="N19" s="2" t="n"/>
      <c r="O19" s="2" t="n"/>
      <c r="P19" s="2" t="n"/>
      <c r="Q19" s="2" t="n"/>
    </row>
    <row r="20">
      <c r="A20" s="2" t="n"/>
      <c r="B20" s="2" t="n"/>
      <c r="C20" s="2" t="n"/>
      <c r="D20" s="2" t="n"/>
      <c r="E20" s="2" t="n"/>
      <c r="F20" s="2" t="n"/>
      <c r="G20" s="2" t="n"/>
      <c r="H20" s="2" t="n"/>
      <c r="I20" s="2" t="n"/>
      <c r="J20" s="2" t="n"/>
      <c r="K20" s="2" t="n"/>
      <c r="L20" s="2" t="n"/>
      <c r="M20" s="2" t="n"/>
      <c r="N20" s="2" t="n"/>
      <c r="O20" s="2" t="n"/>
      <c r="P20" s="2" t="n"/>
      <c r="Q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row>
  </sheetData>
  <mergeCells count="2">
    <mergeCell ref="B4:L4"/>
    <mergeCell ref="C13:L13"/>
  </mergeCells>
  <pageMargins left="0.75" right="0.75" top="1" bottom="1" header="0.5" footer="0.5"/>
  <pageSetup orientation="landscape" fitToHeight="1" fitToWidth="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2026-10-27T10:17:17Z</dcterms:created>
  <dcterms:modified xmlns:dcterms="http://purl.org/dc/terms/" xmlns:xsi="http://www.w3.org/2001/XMLSchema-instance" xsi:type="dcterms:W3CDTF">2026-10-27T10:17:17Z</dcterms:modified>
</cp:coreProperties>
</file>