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Motion Sensors" sheetId="2" state="visible" r:id="rId2"/>
    <sheet xmlns:r="http://schemas.openxmlformats.org/officeDocument/2006/relationships" name="Door-Window Sensors" sheetId="3" state="visible" r:id="rId3"/>
    <sheet xmlns:r="http://schemas.openxmlformats.org/officeDocument/2006/relationships" name="Water Leak Sensors" sheetId="4" state="visible" r:id="rId4"/>
    <sheet xmlns:r="http://schemas.openxmlformats.org/officeDocument/2006/relationships" name="Cameras" sheetId="5" state="visible" r:id="rId5"/>
    <sheet xmlns:r="http://schemas.openxmlformats.org/officeDocument/2006/relationships" name="Controllers - Smart Lock" sheetId="6" state="visible" r:id="rId6"/>
    <sheet xmlns:r="http://schemas.openxmlformats.org/officeDocument/2006/relationships" name="Controllers - Lighting" sheetId="7" state="visible" r:id="rId7"/>
    <sheet xmlns:r="http://schemas.openxmlformats.org/officeDocument/2006/relationships" name="Controllers - Siren" sheetId="8" state="visible" r:id="rId8"/>
    <sheet xmlns:r="http://schemas.openxmlformats.org/officeDocument/2006/relationships" name="Server - Local vs Cloud" sheetId="9" state="visible" r:id="rId9"/>
  </sheets>
  <definedNames>
    <definedName name="_xlnm.Print_Area" localSheetId="1">'Motion Sensors'!$A$1:$K$14</definedName>
    <definedName name="_xlnm.Print_Area" localSheetId="2">'Door-Window Sensors'!$A$1:$K$14</definedName>
    <definedName name="_xlnm.Print_Area" localSheetId="3">'Water Leak Sensors'!$A$1:$K$14</definedName>
    <definedName name="_xlnm.Print_Area" localSheetId="4">'Cameras'!$A$1:$M$14</definedName>
    <definedName name="_xlnm.Print_Area" localSheetId="5">'Controllers - Smart Lock'!$A$1:$K$14</definedName>
    <definedName name="_xlnm.Print_Area" localSheetId="6">'Controllers - Lighting'!$A$1:$K$14</definedName>
    <definedName name="_xlnm.Print_Area" localSheetId="7">'Controllers - Siren'!$A$1:$J$14</definedName>
    <definedName name="_xlnm.Print_Area" localSheetId="8">'Server - Local vs Cloud'!$A$1:$M$14</definedName>
  </definedNames>
  <calcPr calcId="124519" fullCalcOnLoad="1"/>
</workbook>
</file>

<file path=xl/styles.xml><?xml version="1.0" encoding="utf-8"?>
<styleSheet xmlns="http://schemas.openxmlformats.org/spreadsheetml/2006/main">
  <numFmts count="1">
    <numFmt numFmtId="164" formatCode="0&quot;%&quot;"/>
  </numFmts>
  <fonts count="11">
    <font>
      <name val="Arial"/>
      <color rgb="FF000000"/>
      <sz val="10"/>
      <scheme val="minor"/>
    </font>
    <font>
      <name val="Arial"/>
      <color theme="1"/>
      <scheme val="minor"/>
    </font>
    <font>
      <name val="Arial"/>
      <b val="1"/>
      <color theme="1"/>
      <sz val="14"/>
      <scheme val="minor"/>
    </font>
    <font/>
    <font>
      <name val="Arial"/>
      <color theme="1"/>
      <sz val="11"/>
      <scheme val="minor"/>
    </font>
    <font>
      <name val="Arial"/>
      <b val="1"/>
      <color theme="1"/>
      <sz val="11"/>
      <scheme val="minor"/>
    </font>
    <font>
      <name val="Arial"/>
      <b val="1"/>
      <color theme="1"/>
      <scheme val="minor"/>
    </font>
    <font>
      <name val="Arial"/>
      <i val="1"/>
      <sz val="10"/>
    </font>
    <font>
      <name val="Arial"/>
      <b val="1"/>
      <sz val="11"/>
    </font>
    <font>
      <name val="Arial"/>
      <sz val="11"/>
    </font>
    <font>
      <name val="Arial"/>
      <b val="1"/>
      <sz val="14"/>
    </font>
  </fonts>
  <fills count="4">
    <fill>
      <patternFill/>
    </fill>
    <fill>
      <patternFill patternType="lightGray"/>
    </fill>
    <fill>
      <patternFill patternType="solid">
        <fgColor rgb="FF9FC5E8"/>
        <bgColor rgb="FF9FC5E8"/>
      </patternFill>
    </fill>
    <fill>
      <patternFill patternType="solid">
        <fgColor rgb="FFD9EAD3"/>
        <bgColor rgb="FFD9EAD3"/>
      </patternFill>
    </fill>
  </fills>
  <borders count="18">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ck">
        <color rgb="FF000000"/>
      </left>
      <right style="thick">
        <color rgb="FFFFFFFF"/>
      </right>
      <top style="thick">
        <color rgb="FF000000"/>
      </top>
      <bottom style="thick">
        <color rgb="FFFFFFFF"/>
      </bottom>
    </border>
    <border>
      <left style="thick">
        <color rgb="FFFFFFFF"/>
      </left>
      <right style="thick">
        <color rgb="FFFFFFFF"/>
      </right>
      <top style="thick">
        <color rgb="FF000000"/>
      </top>
      <bottom style="thick">
        <color rgb="FFFFFFFF"/>
      </bottom>
    </border>
    <border>
      <left style="thick">
        <color rgb="FFFFFFFF"/>
      </left>
      <right style="thick">
        <color rgb="FF000000"/>
      </right>
      <top style="thick">
        <color rgb="FF000000"/>
      </top>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left style="thin">
        <color rgb="FFFFFFFF"/>
      </left>
      <right style="thin">
        <color rgb="FFFFFFFF"/>
      </right>
      <bottom style="thin">
        <color rgb="FFFFFFFF"/>
      </bottom>
    </border>
    <border>
      <top style="thin">
        <color rgb="FFFFFFFF"/>
      </top>
    </border>
    <border>
      <right style="thin">
        <color rgb="FFFFFFFF"/>
      </right>
      <top style="thin">
        <color rgb="FFFFFFFF"/>
      </top>
    </border>
  </borders>
  <cellStyleXfs count="1">
    <xf numFmtId="0" fontId="0" fillId="0" borderId="0"/>
  </cellStyleXfs>
  <cellXfs count="37">
    <xf numFmtId="0" fontId="0" fillId="0" borderId="0" applyAlignment="1" pivotButton="0" quotePrefix="0" xfId="0">
      <alignment vertical="bottom"/>
    </xf>
    <xf numFmtId="0" fontId="1" fillId="0" borderId="1" pivotButton="0" quotePrefix="0" xfId="0"/>
    <xf numFmtId="0" fontId="1" fillId="0" borderId="1" pivotButton="0" quotePrefix="0" xfId="0"/>
    <xf numFmtId="0" fontId="2" fillId="0" borderId="2" applyAlignment="1" pivotButton="0" quotePrefix="0" xfId="0">
      <alignment horizontal="center"/>
    </xf>
    <xf numFmtId="0" fontId="3" fillId="0" borderId="3" pivotButton="0" quotePrefix="0" xfId="0"/>
    <xf numFmtId="0" fontId="3" fillId="0" borderId="4" pivotButton="0" quotePrefix="0" xfId="0"/>
    <xf numFmtId="0" fontId="1" fillId="0" borderId="5" pivotButton="0" quotePrefix="0" xfId="0"/>
    <xf numFmtId="0" fontId="1" fillId="0" borderId="2" pivotButton="0" quotePrefix="0" xfId="0"/>
    <xf numFmtId="0" fontId="4" fillId="0" borderId="6" applyAlignment="1" pivotButton="0" quotePrefix="0" xfId="0">
      <alignment horizontal="center" vertical="center"/>
    </xf>
    <xf numFmtId="0" fontId="5" fillId="2" borderId="7" applyAlignment="1" pivotButton="0" quotePrefix="0" xfId="0">
      <alignment horizontal="center" vertical="center"/>
    </xf>
    <xf numFmtId="0" fontId="5" fillId="2" borderId="8" applyAlignment="1" pivotButton="0" quotePrefix="0" xfId="0">
      <alignment horizontal="center" vertical="center"/>
    </xf>
    <xf numFmtId="0" fontId="1" fillId="0" borderId="4" pivotButton="0" quotePrefix="0" xfId="0"/>
    <xf numFmtId="0" fontId="5" fillId="2" borderId="9" applyAlignment="1" pivotButton="0" quotePrefix="0" xfId="0">
      <alignment horizontal="center" vertical="center"/>
    </xf>
    <xf numFmtId="0" fontId="4" fillId="0" borderId="10" applyAlignment="1" pivotButton="0" quotePrefix="0" xfId="0">
      <alignment horizontal="center" vertical="center" wrapText="1"/>
    </xf>
    <xf numFmtId="0" fontId="4" fillId="3" borderId="11" applyAlignment="1" pivotButton="0" quotePrefix="0" xfId="0">
      <alignment horizontal="center" vertical="center" wrapText="1"/>
    </xf>
    <xf numFmtId="0" fontId="5" fillId="2" borderId="12" applyAlignment="1" pivotButton="0" quotePrefix="0" xfId="0">
      <alignment horizontal="center" vertical="center"/>
    </xf>
    <xf numFmtId="0" fontId="4" fillId="0" borderId="13" applyAlignment="1" pivotButton="0" quotePrefix="0" xfId="0">
      <alignment horizontal="center" vertical="center" wrapText="1"/>
    </xf>
    <xf numFmtId="0" fontId="4" fillId="3" borderId="14" applyAlignment="1" pivotButton="0" quotePrefix="0" xfId="0">
      <alignment horizontal="center" vertical="center" wrapText="1"/>
    </xf>
    <xf numFmtId="0" fontId="1" fillId="0" borderId="15" pivotButton="0" quotePrefix="0" xfId="0"/>
    <xf numFmtId="0" fontId="6" fillId="0" borderId="1" pivotButton="0" quotePrefix="0" xfId="0"/>
    <xf numFmtId="0" fontId="0" fillId="0" borderId="0" pivotButton="0" quotePrefix="0" xfId="0"/>
    <xf numFmtId="0" fontId="10" fillId="0" borderId="0" applyAlignment="1" pivotButton="0" quotePrefix="0" xfId="0">
      <alignment vertical="top"/>
    </xf>
    <xf numFmtId="0" fontId="9" fillId="0" borderId="0" applyAlignment="1" pivotButton="0" quotePrefix="0" xfId="0">
      <alignment vertical="top" wrapText="1"/>
    </xf>
    <xf numFmtId="0" fontId="9" fillId="0" borderId="0" applyAlignment="1" pivotButton="0" quotePrefix="0" xfId="0">
      <alignment vertical="top"/>
    </xf>
    <xf numFmtId="0" fontId="8" fillId="0" borderId="0" applyAlignment="1" pivotButton="0" quotePrefix="0" xfId="0">
      <alignment vertical="top"/>
    </xf>
    <xf numFmtId="0" fontId="2" fillId="0" borderId="1" applyAlignment="1" pivotButton="0" quotePrefix="0" xfId="0">
      <alignment horizontal="center" vertical="center"/>
    </xf>
    <xf numFmtId="0" fontId="0" fillId="0" borderId="3" pivotButton="0" quotePrefix="0" xfId="0"/>
    <xf numFmtId="0" fontId="0" fillId="0" borderId="4" pivotButton="0" quotePrefix="0" xfId="0"/>
    <xf numFmtId="0" fontId="7" fillId="0" borderId="5" applyAlignment="1" pivotButton="0" quotePrefix="0" xfId="0">
      <alignment horizontal="right"/>
    </xf>
    <xf numFmtId="164" fontId="7" fillId="0" borderId="5" applyAlignment="1" pivotButton="0" quotePrefix="0" xfId="0">
      <alignment horizontal="center"/>
    </xf>
    <xf numFmtId="0" fontId="5" fillId="2" borderId="7" applyAlignment="1" pivotButton="0" quotePrefix="0" xfId="0">
      <alignment horizontal="center" vertical="center" wrapText="1"/>
    </xf>
    <xf numFmtId="0" fontId="5" fillId="2" borderId="9" applyAlignment="1" pivotButton="0" quotePrefix="0" xfId="0">
      <alignment horizontal="center" vertical="center" wrapText="1"/>
    </xf>
    <xf numFmtId="2" fontId="8" fillId="3" borderId="11" applyAlignment="1" pivotButton="0" quotePrefix="0" xfId="0">
      <alignment horizontal="center" vertical="center" wrapText="1"/>
    </xf>
    <xf numFmtId="2" fontId="4" fillId="3" borderId="11" applyAlignment="1" pivotButton="0" quotePrefix="0" xfId="0">
      <alignment horizontal="center" vertical="center" wrapText="1"/>
    </xf>
    <xf numFmtId="0" fontId="6" fillId="0" borderId="1" applyAlignment="1" pivotButton="0" quotePrefix="0" xfId="0">
      <alignment vertical="top"/>
    </xf>
    <xf numFmtId="0" fontId="1" fillId="0" borderId="1" applyAlignment="1" pivotButton="0" quotePrefix="0" xfId="0">
      <alignment vertical="top" wrapText="1"/>
    </xf>
    <xf numFmtId="164" fontId="7" fillId="0" borderId="1"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16"/>
  <sheetViews>
    <sheetView workbookViewId="0">
      <selection activeCell="A1" sqref="A1"/>
    </sheetView>
  </sheetViews>
  <sheetFormatPr baseColWidth="8" defaultRowHeight="15"/>
  <cols>
    <col width="28" customWidth="1" style="20" min="1" max="1"/>
    <col width="110" customWidth="1" style="20" min="2" max="2"/>
  </cols>
  <sheetData>
    <row r="1">
      <c r="A1" s="21" t="inlineStr">
        <is>
          <t>SHSS – Trade-off Evaluation Decision Matrices</t>
        </is>
      </c>
      <c r="B1" s="22" t="inlineStr"/>
    </row>
    <row r="2">
      <c r="A2" s="23" t="inlineStr"/>
      <c r="B2" s="22" t="inlineStr"/>
    </row>
    <row r="3">
      <c r="A3" s="24" t="inlineStr">
        <is>
          <t>Scoring scale</t>
        </is>
      </c>
      <c r="B3" s="22" t="inlineStr">
        <is>
          <t>Each alternative is scored on every criterion with an integer from 1 (worst) to 5 (best).</t>
        </is>
      </c>
    </row>
    <row r="4" ht="48" customHeight="1" s="20">
      <c r="A4" s="24" t="inlineStr">
        <is>
          <t>Weighting method</t>
        </is>
      </c>
      <c r="B4" s="22" t="inlineStr">
        <is>
          <t>Each criterion carries a weight in % (row 5 of every matrix; weights sum to 100 per matrix). Total Score = SUMPRODUCT(scores, weights) / 100, i.e. a weighted average on the 1–5 scale (max 5.00). The alternative with the highest Total Score is selected; the justification is in the 'Final decision' cell.</t>
        </is>
      </c>
    </row>
    <row r="5">
      <c r="A5" s="24" t="inlineStr">
        <is>
          <t>Template</t>
        </is>
      </c>
      <c r="B5" s="22" t="inlineStr">
        <is>
          <t>Udacity Decision Matrix template; one tab per trade-off, same layout on every tab.</t>
        </is>
      </c>
    </row>
    <row r="6" ht="60" customHeight="1" s="20">
      <c r="A6" s="24" t="inlineStr">
        <is>
          <t>How I scored</t>
        </is>
      </c>
      <c r="B6" s="22" t="inlineStr">
        <is>
          <t>The scores are my own judgement based on typical published specifications for devices in each class; they are estimates, not measurements. Where two options are close the final-decision text says so rather than pretending the numbers settle it.</t>
        </is>
      </c>
    </row>
    <row r="7">
      <c r="A7" s="23" t="inlineStr"/>
      <c r="B7" s="22" t="inlineStr"/>
    </row>
    <row r="8">
      <c r="A8" s="24" t="inlineStr">
        <is>
          <t>Matrix (tab)</t>
        </is>
      </c>
      <c r="B8" s="22" t="inlineStr">
        <is>
          <t>Selected alternative (Total Score)</t>
        </is>
      </c>
    </row>
    <row r="9">
      <c r="A9" s="23" t="inlineStr">
        <is>
          <t>Motion Sensors</t>
        </is>
      </c>
      <c r="B9" s="22" t="inlineStr">
        <is>
          <t>PIR motion sensor, Zigbee 3.0, pet-immune (4.40)</t>
        </is>
      </c>
    </row>
    <row r="10">
      <c r="A10" s="23" t="inlineStr">
        <is>
          <t>Door-Window Sensors</t>
        </is>
      </c>
      <c r="B10" s="22" t="inlineStr">
        <is>
          <t>Magnetic reed contact sensor, Zigbee 3.0 (4.65)</t>
        </is>
      </c>
    </row>
    <row r="11">
      <c r="A11" s="23" t="inlineStr">
        <is>
          <t>Water Leak Sensors</t>
        </is>
      </c>
      <c r="B11" s="22" t="inlineStr">
        <is>
          <t>Zigbee spot leak sensor with probe cable (4.75)</t>
        </is>
      </c>
    </row>
    <row r="12">
      <c r="A12" s="23" t="inlineStr">
        <is>
          <t>Cameras</t>
        </is>
      </c>
      <c r="B12" s="22" t="inlineStr">
        <is>
          <t>PoE wired IP camera (ONVIF/RTSP) (4.30)</t>
        </is>
      </c>
    </row>
    <row r="13">
      <c r="A13" s="23" t="inlineStr">
        <is>
          <t>Controllers - Smart Lock</t>
        </is>
      </c>
      <c r="B13" s="22" t="inlineStr">
        <is>
          <t>Zigbee smart lock (4.35)</t>
        </is>
      </c>
    </row>
    <row r="14">
      <c r="A14" s="23" t="inlineStr">
        <is>
          <t>Controllers - Lighting</t>
        </is>
      </c>
      <c r="B14" s="22" t="inlineStr">
        <is>
          <t>Zigbee smart bulb / switch (4.85)</t>
        </is>
      </c>
    </row>
    <row r="15">
      <c r="A15" s="23" t="inlineStr">
        <is>
          <t>Controllers - Siren</t>
        </is>
      </c>
      <c r="B15" s="22" t="inlineStr">
        <is>
          <t>Wired 12 V siren on CCU relay output (4.20)</t>
        </is>
      </c>
    </row>
    <row r="16">
      <c r="A16" s="23" t="inlineStr">
        <is>
          <t>Server - Local vs Cloud</t>
        </is>
      </c>
      <c r="B16" s="22" t="inlineStr">
        <is>
          <t>Hybrid: local-first server + cloud relay (remote access, push, backup) (3.95)</t>
        </is>
      </c>
    </row>
  </sheetData>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Motion Sensors</t>
        </is>
      </c>
      <c r="C4" s="26" t="n"/>
      <c r="D4" s="26" t="n"/>
      <c r="E4" s="26" t="n"/>
      <c r="F4" s="26" t="n"/>
      <c r="G4" s="26" t="n"/>
      <c r="H4" s="26" t="n"/>
      <c r="I4" s="26" t="n"/>
      <c r="J4" s="27" t="n"/>
      <c r="K4" s="2" t="n"/>
      <c r="L4" s="2" t="n"/>
      <c r="M4" s="2" t="n"/>
      <c r="N4" s="2" t="n"/>
      <c r="O4" s="2" t="n"/>
      <c r="P4" s="2" t="n"/>
      <c r="Q4" s="2" t="n"/>
    </row>
    <row r="5">
      <c r="A5" s="2" t="n"/>
      <c r="B5" s="28" t="inlineStr">
        <is>
          <t>Weight %</t>
        </is>
      </c>
      <c r="C5" s="29" t="n">
        <v>20</v>
      </c>
      <c r="D5" s="29" t="n">
        <v>20</v>
      </c>
      <c r="E5" s="29" t="n">
        <v>15</v>
      </c>
      <c r="F5" s="29" t="n">
        <v>15</v>
      </c>
      <c r="G5" s="29" t="n">
        <v>15</v>
      </c>
      <c r="H5" s="29" t="n">
        <v>5</v>
      </c>
      <c r="I5" s="29" t="n">
        <v>10</v>
      </c>
      <c r="J5" s="6" t="n"/>
      <c r="K5" s="2" t="n"/>
      <c r="L5" s="2" t="n"/>
      <c r="M5" s="2" t="n"/>
      <c r="N5" s="2" t="n"/>
      <c r="O5" s="2" t="n"/>
      <c r="P5" s="2" t="n"/>
      <c r="Q5" s="2" t="n"/>
    </row>
    <row r="6" ht="80" customHeight="1" s="20">
      <c r="A6" s="7" t="n"/>
      <c r="B6" s="8" t="inlineStr">
        <is>
          <t>Alternatives</t>
        </is>
      </c>
      <c r="C6" s="30" t="inlineStr">
        <is>
          <t>Detection accuracy
[20%]</t>
        </is>
      </c>
      <c r="D6" s="30" t="inlineStr">
        <is>
          <t>False-alarm immunity (pets/HVAC)
[20%]</t>
        </is>
      </c>
      <c r="E6" s="30" t="inlineStr">
        <is>
          <t>Battery life
[15%]</t>
        </is>
      </c>
      <c r="F6" s="30" t="inlineStr">
        <is>
          <t>Unit cost
[15%]</t>
        </is>
      </c>
      <c r="G6" s="30" t="inlineStr">
        <is>
          <t>Hub integration / protocol fit (Zigbee hub)
[15%]</t>
        </is>
      </c>
      <c r="H6" s="30" t="inlineStr">
        <is>
          <t>Installation ease
[5%]</t>
        </is>
      </c>
      <c r="I6" s="30" t="inlineStr">
        <is>
          <t>Coverage range
[10%]</t>
        </is>
      </c>
      <c r="J6" s="10" t="inlineStr">
        <is>
          <t>Total Score</t>
        </is>
      </c>
      <c r="K6" s="11" t="n"/>
      <c r="L6" s="2" t="n"/>
      <c r="M6" s="2" t="n"/>
      <c r="N6" s="2" t="n"/>
      <c r="O6" s="2" t="n"/>
      <c r="P6" s="2" t="n"/>
      <c r="Q6" s="2" t="n"/>
    </row>
    <row r="7" ht="63" customHeight="1" s="20">
      <c r="A7" s="7" t="n"/>
      <c r="B7" s="31" t="inlineStr">
        <is>
          <t>PIR motion sensor, Zigbee 3.0, pet-immune</t>
        </is>
      </c>
      <c r="C7" s="13" t="n">
        <v>4</v>
      </c>
      <c r="D7" s="13" t="n">
        <v>4</v>
      </c>
      <c r="E7" s="13" t="n">
        <v>5</v>
      </c>
      <c r="F7" s="13" t="n">
        <v>5</v>
      </c>
      <c r="G7" s="13" t="n">
        <v>5</v>
      </c>
      <c r="H7" s="13" t="n">
        <v>5</v>
      </c>
      <c r="I7" s="13" t="n">
        <v>3</v>
      </c>
      <c r="J7" s="32">
        <f>SUMPRODUCT(C7:I7,$C$5:$I$5)/100</f>
        <v/>
      </c>
      <c r="K7" s="11" t="n"/>
      <c r="L7" s="2" t="n"/>
      <c r="M7" s="2" t="n"/>
      <c r="N7" s="2" t="n"/>
      <c r="O7" s="2" t="n"/>
      <c r="P7" s="2" t="n"/>
      <c r="Q7" s="2" t="n"/>
    </row>
    <row r="8" ht="63" customHeight="1" s="20">
      <c r="A8" s="7" t="n"/>
      <c r="B8" s="31" t="inlineStr">
        <is>
          <t>Microwave motion sensor, Wi-Fi</t>
        </is>
      </c>
      <c r="C8" s="13" t="n">
        <v>4</v>
      </c>
      <c r="D8" s="13" t="n">
        <v>2</v>
      </c>
      <c r="E8" s="13" t="n">
        <v>1</v>
      </c>
      <c r="F8" s="13" t="n">
        <v>3</v>
      </c>
      <c r="G8" s="13" t="n">
        <v>2</v>
      </c>
      <c r="H8" s="13" t="n">
        <v>3</v>
      </c>
      <c r="I8" s="13" t="n">
        <v>5</v>
      </c>
      <c r="J8" s="33">
        <f>SUMPRODUCT(C8:I8,$C$5:$I$5)/100</f>
        <v/>
      </c>
      <c r="K8" s="11" t="n"/>
      <c r="L8" s="2" t="n"/>
      <c r="M8" s="2" t="n"/>
      <c r="N8" s="2" t="n"/>
      <c r="O8" s="2" t="n"/>
      <c r="P8" s="2" t="n"/>
      <c r="Q8" s="2" t="n"/>
    </row>
    <row r="9" ht="63" customHeight="1" s="20">
      <c r="A9" s="7" t="n"/>
      <c r="B9" s="31" t="inlineStr">
        <is>
          <t>Dual-technology PIR + Microwave sensor, Z-Wave</t>
        </is>
      </c>
      <c r="C9" s="13" t="n">
        <v>5</v>
      </c>
      <c r="D9" s="13" t="n">
        <v>5</v>
      </c>
      <c r="E9" s="13" t="n">
        <v>3</v>
      </c>
      <c r="F9" s="13" t="n">
        <v>2</v>
      </c>
      <c r="G9" s="13" t="n">
        <v>2</v>
      </c>
      <c r="H9" s="13" t="n">
        <v>4</v>
      </c>
      <c r="I9" s="13" t="n">
        <v>4</v>
      </c>
      <c r="J9" s="33">
        <f>SUMPRODUCT(C9:I9,$C$5:$I$5)/100</f>
        <v/>
      </c>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I picked Option 1, the pet-immune PIR on Zigbee 3.0. It is not the most sensitive of the three, but detection accuracy and false-alarm immunity are the two criteria I weighted most, and the PIR is the only option that is good at both without a compromise elsewhere: a coin cell lasts two to three years and it joins the hub's Zigbee mesh directly. The dual-technology PIR+microwave sensor is technically the best detector, but it is Z-Wave, so it would need a second radio in the CCU, costs about twice as much and eats batteries. The Wi-Fi microwave sensor I scored low on purpose: it needs mains power, it sees through thin walls (false alarms from the neighbour's corridor) and it adds yet another device to the home Wi-Fi.</t>
        </is>
      </c>
      <c r="D13" s="26" t="n"/>
      <c r="E13" s="26" t="n"/>
      <c r="F13" s="26" t="n"/>
      <c r="G13" s="26" t="n"/>
      <c r="H13" s="26" t="n"/>
      <c r="I13" s="26" t="n"/>
      <c r="J13" s="27"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J4"/>
    <mergeCell ref="C13:J13"/>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Door-Window Sensors</t>
        </is>
      </c>
      <c r="C4" s="26" t="n"/>
      <c r="D4" s="26" t="n"/>
      <c r="E4" s="26" t="n"/>
      <c r="F4" s="26" t="n"/>
      <c r="G4" s="26" t="n"/>
      <c r="H4" s="26" t="n"/>
      <c r="I4" s="26" t="n"/>
      <c r="J4" s="27" t="n"/>
      <c r="K4" s="2" t="n"/>
      <c r="L4" s="2" t="n"/>
      <c r="M4" s="2" t="n"/>
      <c r="N4" s="2" t="n"/>
      <c r="O4" s="2" t="n"/>
      <c r="P4" s="2" t="n"/>
      <c r="Q4" s="2" t="n"/>
    </row>
    <row r="5">
      <c r="A5" s="2" t="n"/>
      <c r="B5" s="28" t="inlineStr">
        <is>
          <t>Weight %</t>
        </is>
      </c>
      <c r="C5" s="29" t="n">
        <v>20</v>
      </c>
      <c r="D5" s="29" t="n">
        <v>15</v>
      </c>
      <c r="E5" s="29" t="n">
        <v>15</v>
      </c>
      <c r="F5" s="29" t="n">
        <v>20</v>
      </c>
      <c r="G5" s="29" t="n">
        <v>15</v>
      </c>
      <c r="H5" s="29" t="n">
        <v>5</v>
      </c>
      <c r="I5" s="29" t="n">
        <v>10</v>
      </c>
      <c r="J5" s="6" t="n"/>
      <c r="K5" s="2" t="n"/>
      <c r="L5" s="2" t="n"/>
      <c r="M5" s="2" t="n"/>
      <c r="N5" s="2" t="n"/>
      <c r="O5" s="2" t="n"/>
      <c r="P5" s="2" t="n"/>
      <c r="Q5" s="2" t="n"/>
    </row>
    <row r="6" ht="80" customHeight="1" s="20">
      <c r="A6" s="7" t="n"/>
      <c r="B6" s="8" t="inlineStr">
        <is>
          <t>Alternatives</t>
        </is>
      </c>
      <c r="C6" s="30" t="inlineStr">
        <is>
          <t>Reliability
[20%]</t>
        </is>
      </c>
      <c r="D6" s="30" t="inlineStr">
        <is>
          <t>Battery life / power
[15%]</t>
        </is>
      </c>
      <c r="E6" s="30" t="inlineStr">
        <is>
          <t>Unit cost
[15%]</t>
        </is>
      </c>
      <c r="F6" s="30" t="inlineStr">
        <is>
          <t>Installation ease (wiring)
[20%]</t>
        </is>
      </c>
      <c r="G6" s="30" t="inlineStr">
        <is>
          <t>Protocol fit with hub
[15%]</t>
        </is>
      </c>
      <c r="H6" s="30" t="inlineStr">
        <is>
          <t>Tamper detection
[5%]</t>
        </is>
      </c>
      <c r="I6" s="30" t="inlineStr">
        <is>
          <t>Response latency
[10%]</t>
        </is>
      </c>
      <c r="J6" s="10" t="inlineStr">
        <is>
          <t>Total Score</t>
        </is>
      </c>
      <c r="K6" s="11" t="n"/>
      <c r="L6" s="2" t="n"/>
      <c r="M6" s="2" t="n"/>
      <c r="N6" s="2" t="n"/>
      <c r="O6" s="2" t="n"/>
      <c r="P6" s="2" t="n"/>
      <c r="Q6" s="2" t="n"/>
    </row>
    <row r="7" ht="63" customHeight="1" s="20">
      <c r="A7" s="7" t="n"/>
      <c r="B7" s="31" t="inlineStr">
        <is>
          <t>Magnetic reed contact sensor, Zigbee 3.0</t>
        </is>
      </c>
      <c r="C7" s="13" t="n">
        <v>4</v>
      </c>
      <c r="D7" s="13" t="n">
        <v>5</v>
      </c>
      <c r="E7" s="13" t="n">
        <v>5</v>
      </c>
      <c r="F7" s="13" t="n">
        <v>5</v>
      </c>
      <c r="G7" s="13" t="n">
        <v>5</v>
      </c>
      <c r="H7" s="13" t="n">
        <v>4</v>
      </c>
      <c r="I7" s="13" t="n">
        <v>4</v>
      </c>
      <c r="J7" s="32">
        <f>SUMPRODUCT(C7:I7,$C$5:$I$5)/100</f>
        <v/>
      </c>
      <c r="K7" s="11" t="n"/>
      <c r="L7" s="2" t="n"/>
      <c r="M7" s="2" t="n"/>
      <c r="N7" s="2" t="n"/>
      <c r="O7" s="2" t="n"/>
      <c r="P7" s="2" t="n"/>
      <c r="Q7" s="2" t="n"/>
    </row>
    <row r="8" ht="63" customHeight="1" s="20">
      <c r="A8" s="7" t="n"/>
      <c r="B8" s="31" t="inlineStr">
        <is>
          <t>Wi-Fi contact sensor</t>
        </is>
      </c>
      <c r="C8" s="13" t="n">
        <v>3</v>
      </c>
      <c r="D8" s="13" t="n">
        <v>2</v>
      </c>
      <c r="E8" s="13" t="n">
        <v>3</v>
      </c>
      <c r="F8" s="13" t="n">
        <v>4</v>
      </c>
      <c r="G8" s="13" t="n">
        <v>2</v>
      </c>
      <c r="H8" s="13" t="n">
        <v>3</v>
      </c>
      <c r="I8" s="13" t="n">
        <v>3</v>
      </c>
      <c r="J8" s="33">
        <f>SUMPRODUCT(C8:I8,$C$5:$I$5)/100</f>
        <v/>
      </c>
      <c r="K8" s="11" t="n"/>
      <c r="L8" s="2" t="n"/>
      <c r="M8" s="2" t="n"/>
      <c r="N8" s="2" t="n"/>
      <c r="O8" s="2" t="n"/>
      <c r="P8" s="2" t="n"/>
      <c r="Q8" s="2" t="n"/>
    </row>
    <row r="9" ht="63" customHeight="1" s="20">
      <c r="A9" s="7" t="n"/>
      <c r="B9" s="31" t="inlineStr">
        <is>
          <t>Wired contact sensor to CCU input panel</t>
        </is>
      </c>
      <c r="C9" s="13" t="n">
        <v>5</v>
      </c>
      <c r="D9" s="13" t="n">
        <v>5</v>
      </c>
      <c r="E9" s="13" t="n">
        <v>4</v>
      </c>
      <c r="F9" s="13" t="n">
        <v>1</v>
      </c>
      <c r="G9" s="13" t="n">
        <v>3</v>
      </c>
      <c r="H9" s="13" t="n">
        <v>5</v>
      </c>
      <c r="I9" s="13" t="n">
        <v>5</v>
      </c>
      <c r="J9" s="33">
        <f>SUMPRODUCT(C9:I9,$C$5:$I$5)/100</f>
        <v/>
      </c>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Option 1, the Zigbee reed contact, is the clear winner and honestly the obvious choice for a retrofit home: peel-and-stick installation, two to three years on a battery, cheap enough to put on every window, and native to the hub. I gave the wired contact top marks for reliability and supervision, and if this were a new build with cable already in the walls I would choose it. The Wi-Fi contact sensor loses on battery life (months, not years) and because it talks to the vendor cloud instead of the local mesh.</t>
        </is>
      </c>
      <c r="D13" s="26" t="n"/>
      <c r="E13" s="26" t="n"/>
      <c r="F13" s="26" t="n"/>
      <c r="G13" s="26" t="n"/>
      <c r="H13" s="26" t="n"/>
      <c r="I13" s="26" t="n"/>
      <c r="J13" s="27"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J4"/>
    <mergeCell ref="C13:J13"/>
  </mergeCells>
  <pageMargins left="0.75" right="0.75" top="1" bottom="1" header="0.5" footer="0.5"/>
  <pageSetup orientation="landscape" fitToHeight="1" fitToWidth="1"/>
</worksheet>
</file>

<file path=xl/worksheets/sheet4.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Water Leak Sensors</t>
        </is>
      </c>
      <c r="C4" s="26" t="n"/>
      <c r="D4" s="26" t="n"/>
      <c r="E4" s="26" t="n"/>
      <c r="F4" s="26" t="n"/>
      <c r="G4" s="26" t="n"/>
      <c r="H4" s="26" t="n"/>
      <c r="I4" s="26" t="n"/>
      <c r="J4" s="27" t="n"/>
      <c r="K4" s="2" t="n"/>
      <c r="L4" s="2" t="n"/>
      <c r="M4" s="2" t="n"/>
      <c r="N4" s="2" t="n"/>
      <c r="O4" s="2" t="n"/>
      <c r="P4" s="2" t="n"/>
      <c r="Q4" s="2" t="n"/>
    </row>
    <row r="5">
      <c r="A5" s="2" t="n"/>
      <c r="B5" s="28" t="inlineStr">
        <is>
          <t>Weight %</t>
        </is>
      </c>
      <c r="C5" s="29" t="n">
        <v>20</v>
      </c>
      <c r="D5" s="29" t="n">
        <v>20</v>
      </c>
      <c r="E5" s="29" t="n">
        <v>15</v>
      </c>
      <c r="F5" s="29" t="n">
        <v>15</v>
      </c>
      <c r="G5" s="29" t="n">
        <v>15</v>
      </c>
      <c r="H5" s="29" t="n">
        <v>10</v>
      </c>
      <c r="I5" s="29" t="n">
        <v>5</v>
      </c>
      <c r="J5" s="6" t="n"/>
      <c r="K5" s="2" t="n"/>
      <c r="L5" s="2" t="n"/>
      <c r="M5" s="2" t="n"/>
      <c r="N5" s="2" t="n"/>
      <c r="O5" s="2" t="n"/>
      <c r="P5" s="2" t="n"/>
      <c r="Q5" s="2" t="n"/>
    </row>
    <row r="6" ht="80" customHeight="1" s="20">
      <c r="A6" s="7" t="n"/>
      <c r="B6" s="8" t="inlineStr">
        <is>
          <t>Alternatives</t>
        </is>
      </c>
      <c r="C6" s="30" t="inlineStr">
        <is>
          <t>Detection reliability
[20%]</t>
        </is>
      </c>
      <c r="D6" s="30" t="inlineStr">
        <is>
          <t>Battery life / power
[20%]</t>
        </is>
      </c>
      <c r="E6" s="30" t="inlineStr">
        <is>
          <t>Unit cost
[15%]</t>
        </is>
      </c>
      <c r="F6" s="30" t="inlineStr">
        <is>
          <t>Installation ease
[15%]</t>
        </is>
      </c>
      <c r="G6" s="30" t="inlineStr">
        <is>
          <t>Protocol fit with hub
[15%]</t>
        </is>
      </c>
      <c r="H6" s="30" t="inlineStr">
        <is>
          <t>Placement flexibility (probe cable reach)
[10%]</t>
        </is>
      </c>
      <c r="I6" s="30" t="inlineStr">
        <is>
          <t>Response latency
[5%]</t>
        </is>
      </c>
      <c r="J6" s="10" t="inlineStr">
        <is>
          <t>Total Score</t>
        </is>
      </c>
      <c r="K6" s="11" t="n"/>
      <c r="L6" s="2" t="n"/>
      <c r="M6" s="2" t="n"/>
      <c r="N6" s="2" t="n"/>
      <c r="O6" s="2" t="n"/>
      <c r="P6" s="2" t="n"/>
      <c r="Q6" s="2" t="n"/>
    </row>
    <row r="7" ht="63" customHeight="1" s="20">
      <c r="A7" s="7" t="n"/>
      <c r="B7" s="31" t="inlineStr">
        <is>
          <t>Zigbee spot leak sensor with probe cable</t>
        </is>
      </c>
      <c r="C7" s="13" t="n">
        <v>4</v>
      </c>
      <c r="D7" s="13" t="n">
        <v>5</v>
      </c>
      <c r="E7" s="13" t="n">
        <v>5</v>
      </c>
      <c r="F7" s="13" t="n">
        <v>5</v>
      </c>
      <c r="G7" s="13" t="n">
        <v>5</v>
      </c>
      <c r="H7" s="13" t="n">
        <v>5</v>
      </c>
      <c r="I7" s="13" t="n">
        <v>4</v>
      </c>
      <c r="J7" s="32">
        <f>SUMPRODUCT(C7:I7,$C$5:$I$5)/100</f>
        <v/>
      </c>
      <c r="K7" s="11" t="n"/>
      <c r="L7" s="2" t="n"/>
      <c r="M7" s="2" t="n"/>
      <c r="N7" s="2" t="n"/>
      <c r="O7" s="2" t="n"/>
      <c r="P7" s="2" t="n"/>
      <c r="Q7" s="2" t="n"/>
    </row>
    <row r="8" ht="63" customHeight="1" s="20">
      <c r="A8" s="7" t="n"/>
      <c r="B8" s="31" t="inlineStr">
        <is>
          <t>Wi-Fi leak sensor</t>
        </is>
      </c>
      <c r="C8" s="13" t="n">
        <v>3</v>
      </c>
      <c r="D8" s="13" t="n">
        <v>2</v>
      </c>
      <c r="E8" s="13" t="n">
        <v>3</v>
      </c>
      <c r="F8" s="13" t="n">
        <v>4</v>
      </c>
      <c r="G8" s="13" t="n">
        <v>2</v>
      </c>
      <c r="H8" s="13" t="n">
        <v>3</v>
      </c>
      <c r="I8" s="13" t="n">
        <v>3</v>
      </c>
      <c r="J8" s="33">
        <f>SUMPRODUCT(C8:I8,$C$5:$I$5)/100</f>
        <v/>
      </c>
      <c r="K8" s="11" t="n"/>
      <c r="L8" s="2" t="n"/>
      <c r="M8" s="2" t="n"/>
      <c r="N8" s="2" t="n"/>
      <c r="O8" s="2" t="n"/>
      <c r="P8" s="2" t="n"/>
      <c r="Q8" s="2" t="n"/>
    </row>
    <row r="9" ht="63" customHeight="1" s="20">
      <c r="A9" s="7" t="n"/>
      <c r="B9" s="31" t="inlineStr">
        <is>
          <t>Wired probe to CCU input panel</t>
        </is>
      </c>
      <c r="C9" s="13" t="n">
        <v>5</v>
      </c>
      <c r="D9" s="13" t="n">
        <v>5</v>
      </c>
      <c r="E9" s="13" t="n">
        <v>3</v>
      </c>
      <c r="F9" s="13" t="n">
        <v>1</v>
      </c>
      <c r="G9" s="13" t="n">
        <v>3</v>
      </c>
      <c r="H9" s="13" t="n">
        <v>2</v>
      </c>
      <c r="I9" s="13" t="n">
        <v>5</v>
      </c>
      <c r="J9" s="33">
        <f>SUMPRODUCT(C9:I9,$C$5:$I$5)/100</f>
        <v/>
      </c>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Option 1 again: the Zigbee spot sensor with a probe cable. What decided it for me was placement. Leaks happen under the dishwasher, behind the washing machine and under the water heater, and the probe cable reaches places where a boxy Wi-Fi unit does not fit. Battery life and cost are in the same league as the other Zigbee sensors. The wired probe is reliable but means running cable to every wet spot in the house; the Wi-Fi sensor needs recharging, and basements are exactly where Wi-Fi is weakest.</t>
        </is>
      </c>
      <c r="D13" s="26" t="n"/>
      <c r="E13" s="26" t="n"/>
      <c r="F13" s="26" t="n"/>
      <c r="G13" s="26" t="n"/>
      <c r="H13" s="26" t="n"/>
      <c r="I13" s="26" t="n"/>
      <c r="J13" s="27"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J4"/>
    <mergeCell ref="C13:J13"/>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 width="17" customWidth="1" style="20" min="10" max="10"/>
    <col width="17" customWidth="1" style="20" min="11" max="11"/>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Cameras</t>
        </is>
      </c>
      <c r="C4" s="26" t="n"/>
      <c r="D4" s="26" t="n"/>
      <c r="E4" s="26" t="n"/>
      <c r="F4" s="26" t="n"/>
      <c r="G4" s="26" t="n"/>
      <c r="H4" s="26" t="n"/>
      <c r="I4" s="26" t="n"/>
      <c r="J4" s="26" t="n"/>
      <c r="K4" s="26" t="n"/>
      <c r="L4" s="27" t="n"/>
      <c r="M4" s="2" t="n"/>
      <c r="N4" s="2" t="n"/>
      <c r="O4" s="2" t="n"/>
      <c r="P4" s="2" t="n"/>
      <c r="Q4" s="2" t="n"/>
    </row>
    <row r="5">
      <c r="A5" s="2" t="n"/>
      <c r="B5" s="28" t="inlineStr">
        <is>
          <t>Weight %</t>
        </is>
      </c>
      <c r="C5" s="29" t="n">
        <v>10</v>
      </c>
      <c r="D5" s="29" t="n">
        <v>15</v>
      </c>
      <c r="E5" s="29" t="n">
        <v>10</v>
      </c>
      <c r="F5" s="29" t="n">
        <v>10</v>
      </c>
      <c r="G5" s="29" t="n">
        <v>10</v>
      </c>
      <c r="H5" s="29" t="n">
        <v>15</v>
      </c>
      <c r="I5" s="29" t="n">
        <v>10</v>
      </c>
      <c r="J5" s="29" t="n">
        <v>10</v>
      </c>
      <c r="K5" s="36" t="n">
        <v>10</v>
      </c>
      <c r="L5" s="2" t="n"/>
      <c r="M5" s="2" t="n"/>
      <c r="N5" s="2" t="n"/>
      <c r="O5" s="2" t="n"/>
      <c r="P5" s="2" t="n"/>
      <c r="Q5" s="2" t="n"/>
    </row>
    <row r="6" ht="80" customHeight="1" s="20">
      <c r="A6" s="7" t="n"/>
      <c r="B6" s="8" t="inlineStr">
        <is>
          <t>Alternatives</t>
        </is>
      </c>
      <c r="C6" s="30" t="inlineStr">
        <is>
          <t>Video quality
[10%]</t>
        </is>
      </c>
      <c r="D6" s="30" t="inlineStr">
        <is>
          <t>Connection reliability
[15%]</t>
        </is>
      </c>
      <c r="E6" s="30" t="inlineStr">
        <is>
          <t>Power dependency / battery
[10%]</t>
        </is>
      </c>
      <c r="F6" s="30" t="inlineStr">
        <is>
          <t>Installation complexity
[10%]</t>
        </is>
      </c>
      <c r="G6" s="30" t="inlineStr">
        <is>
          <t>Cost (device + infrastructure)
[10%]</t>
        </is>
      </c>
      <c r="H6" s="30" t="inlineStr">
        <is>
          <t>Local recording &amp; open-standard support (ONVIF/RTSP)
[15%]</t>
        </is>
      </c>
      <c r="I6" s="30" t="inlineStr">
        <is>
          <t>Security / encryption
[10%]</t>
        </is>
      </c>
      <c r="J6" s="30" t="inlineStr">
        <is>
          <t>Bandwidth impact on Wi-Fi
[10%]</t>
        </is>
      </c>
      <c r="K6" s="30" t="inlineStr">
        <is>
          <t>Night vision
[10%]</t>
        </is>
      </c>
      <c r="L6" s="10" t="inlineStr">
        <is>
          <t>Total Score</t>
        </is>
      </c>
      <c r="M6" s="2" t="n"/>
      <c r="N6" s="2" t="n"/>
      <c r="O6" s="2" t="n"/>
      <c r="P6" s="2" t="n"/>
      <c r="Q6" s="2" t="n"/>
    </row>
    <row r="7" ht="63" customHeight="1" s="20">
      <c r="A7" s="7" t="n"/>
      <c r="B7" s="31" t="inlineStr">
        <is>
          <t>PoE wired IP camera (ONVIF/RTSP)</t>
        </is>
      </c>
      <c r="C7" s="13" t="n">
        <v>5</v>
      </c>
      <c r="D7" s="13" t="n">
        <v>5</v>
      </c>
      <c r="E7" s="13" t="n">
        <v>5</v>
      </c>
      <c r="F7" s="13" t="n">
        <v>2</v>
      </c>
      <c r="G7" s="13" t="n">
        <v>3</v>
      </c>
      <c r="H7" s="13" t="n">
        <v>5</v>
      </c>
      <c r="I7" s="13" t="n">
        <v>4</v>
      </c>
      <c r="J7" s="13" t="n">
        <v>5</v>
      </c>
      <c r="K7" s="13" t="n">
        <v>4</v>
      </c>
      <c r="L7" s="32">
        <f>SUMPRODUCT(C7:K7,$C$5:$K$5)/100</f>
        <v/>
      </c>
      <c r="M7" s="2" t="n"/>
      <c r="N7" s="2" t="n"/>
      <c r="O7" s="2" t="n"/>
      <c r="P7" s="2" t="n"/>
      <c r="Q7" s="2" t="n"/>
    </row>
    <row r="8" ht="63" customHeight="1" s="20">
      <c r="A8" s="7" t="n"/>
      <c r="B8" s="31" t="inlineStr">
        <is>
          <t>Wi-Fi mains-powered camera</t>
        </is>
      </c>
      <c r="C8" s="13" t="n">
        <v>4</v>
      </c>
      <c r="D8" s="13" t="n">
        <v>3</v>
      </c>
      <c r="E8" s="13" t="n">
        <v>4</v>
      </c>
      <c r="F8" s="13" t="n">
        <v>4</v>
      </c>
      <c r="G8" s="13" t="n">
        <v>4</v>
      </c>
      <c r="H8" s="13" t="n">
        <v>3</v>
      </c>
      <c r="I8" s="13" t="n">
        <v>3</v>
      </c>
      <c r="J8" s="13" t="n">
        <v>2</v>
      </c>
      <c r="K8" s="13" t="n">
        <v>4</v>
      </c>
      <c r="L8" s="33">
        <f>SUMPRODUCT(C8:K8,$C$5:$K$5)/100</f>
        <v/>
      </c>
      <c r="M8" s="2" t="n"/>
      <c r="N8" s="2" t="n"/>
      <c r="O8" s="2" t="n"/>
      <c r="P8" s="2" t="n"/>
      <c r="Q8" s="2" t="n"/>
    </row>
    <row r="9" ht="63" customHeight="1" s="20">
      <c r="A9" s="7" t="n"/>
      <c r="B9" s="31" t="inlineStr">
        <is>
          <t>Wi-Fi battery camera</t>
        </is>
      </c>
      <c r="C9" s="13" t="n">
        <v>3</v>
      </c>
      <c r="D9" s="13" t="n">
        <v>2</v>
      </c>
      <c r="E9" s="13" t="n">
        <v>1</v>
      </c>
      <c r="F9" s="13" t="n">
        <v>5</v>
      </c>
      <c r="G9" s="13" t="n">
        <v>3</v>
      </c>
      <c r="H9" s="13" t="n">
        <v>1</v>
      </c>
      <c r="I9" s="13" t="n">
        <v>2</v>
      </c>
      <c r="J9" s="13" t="n">
        <v>3</v>
      </c>
      <c r="K9" s="13" t="n">
        <v>3</v>
      </c>
      <c r="L9" s="33">
        <f>SUMPRODUCT(C9:K9,$C$5:$K$5)/100</f>
        <v/>
      </c>
      <c r="M9" s="2" t="n"/>
      <c r="N9" s="2" t="n"/>
      <c r="O9" s="2" t="n"/>
      <c r="P9" s="2" t="n"/>
      <c r="Q9" s="2" t="n"/>
    </row>
    <row r="10" ht="63" customHeight="1" s="20">
      <c r="A10" s="2" t="n"/>
      <c r="B10" s="31" t="inlineStr">
        <is>
          <t>Analog HD coax camera (HD-CVI/TVI) + DVR</t>
        </is>
      </c>
      <c r="C10" s="13" t="n">
        <v>3</v>
      </c>
      <c r="D10" s="13" t="n">
        <v>5</v>
      </c>
      <c r="E10" s="13" t="n">
        <v>3</v>
      </c>
      <c r="F10" s="13" t="n">
        <v>2</v>
      </c>
      <c r="G10" s="13" t="n">
        <v>4</v>
      </c>
      <c r="H10" s="13" t="n">
        <v>3</v>
      </c>
      <c r="I10" s="13" t="n">
        <v>3</v>
      </c>
      <c r="J10" s="13" t="n">
        <v>5</v>
      </c>
      <c r="K10" s="13" t="n">
        <v>4</v>
      </c>
      <c r="L10" s="33">
        <f>SUMPRODUCT(C10:K10,$C$5:$K$5)/100</f>
        <v/>
      </c>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230" customHeight="1" s="20">
      <c r="A13" s="2" t="n"/>
      <c r="B13" s="34" t="inlineStr">
        <is>
          <t>Final decision:</t>
        </is>
      </c>
      <c r="C13" s="35" t="inlineStr">
        <is>
          <t>Option 1, PoE wired IP cameras with ONVIF/RTSP, with a total of 4.30. The criteria I weighted highest were connection reliability and local, open-standard recording, and PoE wins both without much discussion: one cable carries power and video, the NVR on the CCU records without any vendor cloud, and the cameras keep running from the UPS-backed PoE switch during a power cut. The price for that is installation effort (cable runs), which I scored a 2 and accept as a one-off cost. The analog HD coax option surprised me by coming second: it is cheap and reliable, but it needs a separate DVR and integrates poorly. Wi-Fi mains cameras congest the home network; Wi-Fi battery cameras need charging every few weeks, record only on motion and usually lock the recordings into a subscription.</t>
        </is>
      </c>
      <c r="D13" s="26" t="n"/>
      <c r="E13" s="26" t="n"/>
      <c r="F13" s="26" t="n"/>
      <c r="G13" s="26" t="n"/>
      <c r="H13" s="26" t="n"/>
      <c r="I13" s="26" t="n"/>
      <c r="J13" s="26" t="n"/>
      <c r="K13" s="26" t="n"/>
      <c r="L13" s="27"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L4"/>
    <mergeCell ref="C13:L13"/>
  </mergeCells>
  <pageMargins left="0.75" right="0.75" top="1" bottom="1" header="0.5" footer="0.5"/>
  <pageSetup orientation="landscape" fitToHeight="1" fitToWidth="1"/>
</worksheet>
</file>

<file path=xl/worksheets/sheet6.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Controllers - Smart Lock</t>
        </is>
      </c>
      <c r="C4" s="26" t="n"/>
      <c r="D4" s="26" t="n"/>
      <c r="E4" s="26" t="n"/>
      <c r="F4" s="26" t="n"/>
      <c r="G4" s="26" t="n"/>
      <c r="H4" s="26" t="n"/>
      <c r="I4" s="26" t="n"/>
      <c r="J4" s="27" t="n"/>
      <c r="K4" s="2" t="n"/>
      <c r="L4" s="2" t="n"/>
      <c r="M4" s="2" t="n"/>
      <c r="N4" s="2" t="n"/>
      <c r="O4" s="2" t="n"/>
      <c r="P4" s="2" t="n"/>
      <c r="Q4" s="2" t="n"/>
    </row>
    <row r="5">
      <c r="A5" s="2" t="n"/>
      <c r="B5" s="28" t="inlineStr">
        <is>
          <t>Weight %</t>
        </is>
      </c>
      <c r="C5" s="29" t="n">
        <v>20</v>
      </c>
      <c r="D5" s="29" t="n">
        <v>20</v>
      </c>
      <c r="E5" s="29" t="n">
        <v>20</v>
      </c>
      <c r="F5" s="29" t="n">
        <v>10</v>
      </c>
      <c r="G5" s="29" t="n">
        <v>10</v>
      </c>
      <c r="H5" s="29" t="n">
        <v>15</v>
      </c>
      <c r="I5" s="29" t="n">
        <v>5</v>
      </c>
      <c r="J5" s="6" t="n"/>
      <c r="K5" s="2" t="n"/>
      <c r="L5" s="2" t="n"/>
      <c r="M5" s="2" t="n"/>
      <c r="N5" s="2" t="n"/>
      <c r="O5" s="2" t="n"/>
      <c r="P5" s="2" t="n"/>
      <c r="Q5" s="2" t="n"/>
    </row>
    <row r="6" ht="80" customHeight="1" s="20">
      <c r="A6" s="7" t="n"/>
      <c r="B6" s="8" t="inlineStr">
        <is>
          <t>Alternatives</t>
        </is>
      </c>
      <c r="C6" s="30" t="inlineStr">
        <is>
          <t>Battery life
[20%]</t>
        </is>
      </c>
      <c r="D6" s="30" t="inlineStr">
        <is>
          <t>Security (encryption, tamper)
[20%]</t>
        </is>
      </c>
      <c r="E6" s="30" t="inlineStr">
        <is>
          <t>Protocol fit with hub
[20%]</t>
        </is>
      </c>
      <c r="F6" s="30" t="inlineStr">
        <is>
          <t>Unit cost
[10%]</t>
        </is>
      </c>
      <c r="G6" s="30" t="inlineStr">
        <is>
          <t>Response latency
[10%]</t>
        </is>
      </c>
      <c r="H6" s="30" t="inlineStr">
        <is>
          <t>Offline operation (works without internet)
[15%]</t>
        </is>
      </c>
      <c r="I6" s="30" t="inlineStr">
        <is>
          <t>Ease of installation
[5%]</t>
        </is>
      </c>
      <c r="J6" s="10" t="inlineStr">
        <is>
          <t>Total Score</t>
        </is>
      </c>
      <c r="K6" s="11" t="n"/>
      <c r="L6" s="2" t="n"/>
      <c r="M6" s="2" t="n"/>
      <c r="N6" s="2" t="n"/>
      <c r="O6" s="2" t="n"/>
      <c r="P6" s="2" t="n"/>
      <c r="Q6" s="2" t="n"/>
    </row>
    <row r="7" ht="63" customHeight="1" s="20">
      <c r="A7" s="7" t="n"/>
      <c r="B7" s="31" t="inlineStr">
        <is>
          <t>Zigbee smart lock</t>
        </is>
      </c>
      <c r="C7" s="13" t="n">
        <v>4</v>
      </c>
      <c r="D7" s="13" t="n">
        <v>4</v>
      </c>
      <c r="E7" s="13" t="n">
        <v>5</v>
      </c>
      <c r="F7" s="13" t="n">
        <v>4</v>
      </c>
      <c r="G7" s="13" t="n">
        <v>4</v>
      </c>
      <c r="H7" s="13" t="n">
        <v>5</v>
      </c>
      <c r="I7" s="13" t="n">
        <v>4</v>
      </c>
      <c r="J7" s="32">
        <f>SUMPRODUCT(C7:I7,$C$5:$I$5)/100</f>
        <v/>
      </c>
      <c r="K7" s="11" t="n"/>
      <c r="L7" s="2" t="n"/>
      <c r="M7" s="2" t="n"/>
      <c r="N7" s="2" t="n"/>
      <c r="O7" s="2" t="n"/>
      <c r="P7" s="2" t="n"/>
      <c r="Q7" s="2" t="n"/>
    </row>
    <row r="8" ht="63" customHeight="1" s="20">
      <c r="A8" s="7" t="n"/>
      <c r="B8" s="31" t="inlineStr">
        <is>
          <t>Z-Wave smart lock</t>
        </is>
      </c>
      <c r="C8" s="13" t="n">
        <v>4</v>
      </c>
      <c r="D8" s="13" t="n">
        <v>5</v>
      </c>
      <c r="E8" s="13" t="n">
        <v>2</v>
      </c>
      <c r="F8" s="13" t="n">
        <v>3</v>
      </c>
      <c r="G8" s="13" t="n">
        <v>4</v>
      </c>
      <c r="H8" s="13" t="n">
        <v>5</v>
      </c>
      <c r="I8" s="13" t="n">
        <v>4</v>
      </c>
      <c r="J8" s="33">
        <f>SUMPRODUCT(C8:I8,$C$5:$I$5)/100</f>
        <v/>
      </c>
      <c r="K8" s="11" t="n"/>
      <c r="L8" s="2" t="n"/>
      <c r="M8" s="2" t="n"/>
      <c r="N8" s="2" t="n"/>
      <c r="O8" s="2" t="n"/>
      <c r="P8" s="2" t="n"/>
      <c r="Q8" s="2" t="n"/>
    </row>
    <row r="9" ht="63" customHeight="1" s="20">
      <c r="A9" s="7" t="n"/>
      <c r="B9" s="31" t="inlineStr">
        <is>
          <t>Wi-Fi smart lock</t>
        </is>
      </c>
      <c r="C9" s="13" t="n">
        <v>1</v>
      </c>
      <c r="D9" s="13" t="n">
        <v>3</v>
      </c>
      <c r="E9" s="13" t="n">
        <v>2</v>
      </c>
      <c r="F9" s="13" t="n">
        <v>3</v>
      </c>
      <c r="G9" s="13" t="n">
        <v>3</v>
      </c>
      <c r="H9" s="13" t="n">
        <v>2</v>
      </c>
      <c r="I9" s="13" t="n">
        <v>4</v>
      </c>
      <c r="J9" s="33">
        <f>SUMPRODUCT(C9:I9,$C$5:$I$5)/100</f>
        <v/>
      </c>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Option 1, a Zigbee smart lock. For a lock I weighted security, offline operation and protocol fit highest. The Zigbee lock works entirely through the CCU's local automations (auto-lock on Armed Away) with no internet involved, reports tamper and low battery, and uses the same AES-128 link keys as the sensors. The Z-Wave lock is a close second with its S2 security class, but it would be the only Z-Wave device in the house and would need its own controller. The Wi-Fi lock is the weakest option: the battery lasts weeks and most models stop working when the vendor cloud is down.</t>
        </is>
      </c>
      <c r="D13" s="26" t="n"/>
      <c r="E13" s="26" t="n"/>
      <c r="F13" s="26" t="n"/>
      <c r="G13" s="26" t="n"/>
      <c r="H13" s="26" t="n"/>
      <c r="I13" s="26" t="n"/>
      <c r="J13" s="27"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J4"/>
    <mergeCell ref="C13:J13"/>
  </mergeCells>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Controllers - Lighting</t>
        </is>
      </c>
      <c r="C4" s="26" t="n"/>
      <c r="D4" s="26" t="n"/>
      <c r="E4" s="26" t="n"/>
      <c r="F4" s="26" t="n"/>
      <c r="G4" s="26" t="n"/>
      <c r="H4" s="26" t="n"/>
      <c r="I4" s="26" t="n"/>
      <c r="J4" s="27" t="n"/>
      <c r="K4" s="2" t="n"/>
      <c r="L4" s="2" t="n"/>
      <c r="M4" s="2" t="n"/>
      <c r="N4" s="2" t="n"/>
      <c r="O4" s="2" t="n"/>
      <c r="P4" s="2" t="n"/>
      <c r="Q4" s="2" t="n"/>
    </row>
    <row r="5">
      <c r="A5" s="2" t="n"/>
      <c r="B5" s="28" t="inlineStr">
        <is>
          <t>Weight %</t>
        </is>
      </c>
      <c r="C5" s="29" t="n">
        <v>20</v>
      </c>
      <c r="D5" s="29" t="n">
        <v>15</v>
      </c>
      <c r="E5" s="29" t="n">
        <v>20</v>
      </c>
      <c r="F5" s="29" t="n">
        <v>15</v>
      </c>
      <c r="G5" s="29" t="n">
        <v>10</v>
      </c>
      <c r="H5" s="29" t="n">
        <v>10</v>
      </c>
      <c r="I5" s="29" t="n">
        <v>10</v>
      </c>
      <c r="J5" s="6" t="n"/>
      <c r="K5" s="2" t="n"/>
      <c r="L5" s="2" t="n"/>
      <c r="M5" s="2" t="n"/>
      <c r="N5" s="2" t="n"/>
      <c r="O5" s="2" t="n"/>
      <c r="P5" s="2" t="n"/>
      <c r="Q5" s="2" t="n"/>
    </row>
    <row r="6" ht="80" customHeight="1" s="20">
      <c r="A6" s="7" t="n"/>
      <c r="B6" s="8" t="inlineStr">
        <is>
          <t>Alternatives</t>
        </is>
      </c>
      <c r="C6" s="30" t="inlineStr">
        <is>
          <t>Protocol fit with hub
[20%]</t>
        </is>
      </c>
      <c r="D6" s="30" t="inlineStr">
        <is>
          <t>Mesh contribution (extends Zigbee network)
[15%]</t>
        </is>
      </c>
      <c r="E6" s="30" t="inlineStr">
        <is>
          <t>Local control / offline operation
[20%]</t>
        </is>
      </c>
      <c r="F6" s="30" t="inlineStr">
        <is>
          <t>Unit cost
[15%]</t>
        </is>
      </c>
      <c r="G6" s="30" t="inlineStr">
        <is>
          <t>Response latency
[10%]</t>
        </is>
      </c>
      <c r="H6" s="30" t="inlineStr">
        <is>
          <t>Installation ease
[10%]</t>
        </is>
      </c>
      <c r="I6" s="30" t="inlineStr">
        <is>
          <t>Dimming / scene features
[10%]</t>
        </is>
      </c>
      <c r="J6" s="10" t="inlineStr">
        <is>
          <t>Total Score</t>
        </is>
      </c>
      <c r="K6" s="11" t="n"/>
      <c r="L6" s="2" t="n"/>
      <c r="M6" s="2" t="n"/>
      <c r="N6" s="2" t="n"/>
      <c r="O6" s="2" t="n"/>
      <c r="P6" s="2" t="n"/>
      <c r="Q6" s="2" t="n"/>
    </row>
    <row r="7" ht="63" customHeight="1" s="20">
      <c r="A7" s="7" t="n"/>
      <c r="B7" s="31" t="inlineStr">
        <is>
          <t>Zigbee smart bulb / switch</t>
        </is>
      </c>
      <c r="C7" s="13" t="n">
        <v>5</v>
      </c>
      <c r="D7" s="13" t="n">
        <v>5</v>
      </c>
      <c r="E7" s="13" t="n">
        <v>5</v>
      </c>
      <c r="F7" s="13" t="n">
        <v>4</v>
      </c>
      <c r="G7" s="13" t="n">
        <v>5</v>
      </c>
      <c r="H7" s="13" t="n">
        <v>5</v>
      </c>
      <c r="I7" s="13" t="n">
        <v>5</v>
      </c>
      <c r="J7" s="32">
        <f>SUMPRODUCT(C7:I7,$C$5:$I$5)/100</f>
        <v/>
      </c>
      <c r="K7" s="11" t="n"/>
      <c r="L7" s="2" t="n"/>
      <c r="M7" s="2" t="n"/>
      <c r="N7" s="2" t="n"/>
      <c r="O7" s="2" t="n"/>
      <c r="P7" s="2" t="n"/>
      <c r="Q7" s="2" t="n"/>
    </row>
    <row r="8" ht="63" customHeight="1" s="20">
      <c r="A8" s="7" t="n"/>
      <c r="B8" s="31" t="inlineStr">
        <is>
          <t>Wi-Fi smart plug</t>
        </is>
      </c>
      <c r="C8" s="13" t="n">
        <v>2</v>
      </c>
      <c r="D8" s="13" t="n">
        <v>1</v>
      </c>
      <c r="E8" s="13" t="n">
        <v>2</v>
      </c>
      <c r="F8" s="13" t="n">
        <v>5</v>
      </c>
      <c r="G8" s="13" t="n">
        <v>3</v>
      </c>
      <c r="H8" s="13" t="n">
        <v>5</v>
      </c>
      <c r="I8" s="13" t="n">
        <v>2</v>
      </c>
      <c r="J8" s="33">
        <f>SUMPRODUCT(C8:I8,$C$5:$I$5)/100</f>
        <v/>
      </c>
      <c r="K8" s="11" t="n"/>
      <c r="L8" s="2" t="n"/>
      <c r="M8" s="2" t="n"/>
      <c r="N8" s="2" t="n"/>
      <c r="O8" s="2" t="n"/>
      <c r="P8" s="2" t="n"/>
      <c r="Q8" s="2" t="n"/>
    </row>
    <row r="9" ht="63" customHeight="1" s="20">
      <c r="A9" s="7" t="n"/>
      <c r="B9" s="31" t="inlineStr">
        <is>
          <t>Z-Wave in-wall switch</t>
        </is>
      </c>
      <c r="C9" s="13" t="n">
        <v>2</v>
      </c>
      <c r="D9" s="13" t="n">
        <v>2</v>
      </c>
      <c r="E9" s="13" t="n">
        <v>5</v>
      </c>
      <c r="F9" s="13" t="n">
        <v>2</v>
      </c>
      <c r="G9" s="13" t="n">
        <v>4</v>
      </c>
      <c r="H9" s="13" t="n">
        <v>2</v>
      </c>
      <c r="I9" s="13" t="n">
        <v>4</v>
      </c>
      <c r="J9" s="33">
        <f>SUMPRODUCT(C9:I9,$C$5:$I$5)/100</f>
        <v/>
      </c>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Option 1, Zigbee bulbs and switches, by a wide margin (4.85). Beyond the obvious points (native hub fit, local control, instant response to alarm scenes) there is a side benefit that decided it: mains-powered Zigbee devices are mesh routers, so every bulb I add makes the battery sensors' network stronger. Wi-Fi plugs are cheap and fine for non-security loads, but they are on/off only and usually cloud-dependent. Z-Wave in-wall switches need an electrician and a second radio, and do nothing for the Zigbee mesh.</t>
        </is>
      </c>
      <c r="D13" s="26" t="n"/>
      <c r="E13" s="26" t="n"/>
      <c r="F13" s="26" t="n"/>
      <c r="G13" s="26" t="n"/>
      <c r="H13" s="26" t="n"/>
      <c r="I13" s="26" t="n"/>
      <c r="J13" s="27"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J4"/>
    <mergeCell ref="C13:J13"/>
  </mergeCell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Controllers - Siren</t>
        </is>
      </c>
      <c r="C4" s="26" t="n"/>
      <c r="D4" s="26" t="n"/>
      <c r="E4" s="26" t="n"/>
      <c r="F4" s="26" t="n"/>
      <c r="G4" s="26" t="n"/>
      <c r="H4" s="26" t="n"/>
      <c r="I4" s="27" t="n"/>
      <c r="K4" s="2" t="n"/>
      <c r="L4" s="2" t="n"/>
      <c r="M4" s="2" t="n"/>
      <c r="N4" s="2" t="n"/>
      <c r="O4" s="2" t="n"/>
      <c r="P4" s="2" t="n"/>
      <c r="Q4" s="2" t="n"/>
    </row>
    <row r="5">
      <c r="A5" s="2" t="n"/>
      <c r="B5" s="28" t="inlineStr">
        <is>
          <t>Weight %</t>
        </is>
      </c>
      <c r="C5" s="29" t="n">
        <v>20</v>
      </c>
      <c r="D5" s="29" t="n">
        <v>25</v>
      </c>
      <c r="E5" s="29" t="n">
        <v>10</v>
      </c>
      <c r="F5" s="29" t="n">
        <v>15</v>
      </c>
      <c r="G5" s="29" t="n">
        <v>15</v>
      </c>
      <c r="H5" s="29" t="n">
        <v>15</v>
      </c>
      <c r="I5" s="6" t="n"/>
      <c r="J5" s="6" t="n"/>
      <c r="K5" s="2" t="n"/>
      <c r="L5" s="2" t="n"/>
      <c r="M5" s="2" t="n"/>
      <c r="N5" s="2" t="n"/>
      <c r="O5" s="2" t="n"/>
      <c r="P5" s="2" t="n"/>
      <c r="Q5" s="2" t="n"/>
    </row>
    <row r="6" ht="80" customHeight="1" s="20">
      <c r="A6" s="7" t="n"/>
      <c r="B6" s="8" t="inlineStr">
        <is>
          <t>Alternatives</t>
        </is>
      </c>
      <c r="C6" s="30" t="inlineStr">
        <is>
          <t>Loudness
[20%]</t>
        </is>
      </c>
      <c r="D6" s="30" t="inlineStr">
        <is>
          <t>Reliability during power / Wi-Fi outage
[25%]</t>
        </is>
      </c>
      <c r="E6" s="30" t="inlineStr">
        <is>
          <t>Cost
[10%]</t>
        </is>
      </c>
      <c r="F6" s="30" t="inlineStr">
        <is>
          <t>Installation
[15%]</t>
        </is>
      </c>
      <c r="G6" s="30" t="inlineStr">
        <is>
          <t>Protocol fit
[15%]</t>
        </is>
      </c>
      <c r="H6" s="30" t="inlineStr">
        <is>
          <t>Tamper / supervision
[15%]</t>
        </is>
      </c>
      <c r="I6" s="10" t="inlineStr">
        <is>
          <t>Total Score</t>
        </is>
      </c>
      <c r="J6" s="2" t="n"/>
      <c r="K6" s="11" t="n"/>
      <c r="L6" s="2" t="n"/>
      <c r="M6" s="2" t="n"/>
      <c r="N6" s="2" t="n"/>
      <c r="O6" s="2" t="n"/>
      <c r="P6" s="2" t="n"/>
      <c r="Q6" s="2" t="n"/>
    </row>
    <row r="7" ht="63" customHeight="1" s="20">
      <c r="A7" s="7" t="n"/>
      <c r="B7" s="31" t="inlineStr">
        <is>
          <t>Zigbee indoor siren (battery + mains)</t>
        </is>
      </c>
      <c r="C7" s="13" t="n">
        <v>3</v>
      </c>
      <c r="D7" s="13" t="n">
        <v>4</v>
      </c>
      <c r="E7" s="13" t="n">
        <v>4</v>
      </c>
      <c r="F7" s="13" t="n">
        <v>5</v>
      </c>
      <c r="G7" s="13" t="n">
        <v>5</v>
      </c>
      <c r="H7" s="13" t="n">
        <v>4</v>
      </c>
      <c r="I7" s="33">
        <f>SUMPRODUCT(C7:H7,$C$5:$H$5)/100</f>
        <v/>
      </c>
      <c r="J7" s="2" t="n"/>
      <c r="K7" s="11" t="n"/>
      <c r="L7" s="2" t="n"/>
      <c r="M7" s="2" t="n"/>
      <c r="N7" s="2" t="n"/>
      <c r="O7" s="2" t="n"/>
      <c r="P7" s="2" t="n"/>
      <c r="Q7" s="2" t="n"/>
    </row>
    <row r="8" ht="63" customHeight="1" s="20">
      <c r="A8" s="7" t="n"/>
      <c r="B8" s="31" t="inlineStr">
        <is>
          <t>Wired 12 V siren on CCU relay output</t>
        </is>
      </c>
      <c r="C8" s="13" t="n">
        <v>5</v>
      </c>
      <c r="D8" s="13" t="n">
        <v>5</v>
      </c>
      <c r="E8" s="13" t="n">
        <v>3</v>
      </c>
      <c r="F8" s="13" t="n">
        <v>2</v>
      </c>
      <c r="G8" s="13" t="n">
        <v>4</v>
      </c>
      <c r="H8" s="13" t="n">
        <v>5</v>
      </c>
      <c r="I8" s="32">
        <f>SUMPRODUCT(C8:H8,$C$5:$H$5)/100</f>
        <v/>
      </c>
      <c r="J8" s="2" t="n"/>
      <c r="K8" s="11" t="n"/>
      <c r="L8" s="2" t="n"/>
      <c r="M8" s="2" t="n"/>
      <c r="N8" s="2" t="n"/>
      <c r="O8" s="2" t="n"/>
      <c r="P8" s="2" t="n"/>
      <c r="Q8" s="2" t="n"/>
    </row>
    <row r="9" ht="63" customHeight="1" s="20">
      <c r="A9" s="7" t="n"/>
      <c r="B9" s="31" t="inlineStr">
        <is>
          <t>Wi-Fi siren</t>
        </is>
      </c>
      <c r="C9" s="13" t="n">
        <v>3</v>
      </c>
      <c r="D9" s="13" t="n">
        <v>1</v>
      </c>
      <c r="E9" s="13" t="n">
        <v>3</v>
      </c>
      <c r="F9" s="13" t="n">
        <v>4</v>
      </c>
      <c r="G9" s="13" t="n">
        <v>2</v>
      </c>
      <c r="H9" s="13" t="n">
        <v>2</v>
      </c>
      <c r="I9" s="33">
        <f>SUMPRODUCT(C9:H9,$C$5:$H$5)/100</f>
        <v/>
      </c>
      <c r="J9" s="2" t="n"/>
      <c r="K9" s="11" t="n"/>
      <c r="L9" s="2" t="n"/>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150" customHeight="1" s="20">
      <c r="A13" s="2" t="n"/>
      <c r="B13" s="34" t="inlineStr">
        <is>
          <t>Final decision:</t>
        </is>
      </c>
      <c r="C13" s="35" t="inlineStr">
        <is>
          <t>This is the one matrix where the winner on paper is not the whole answer. The wired 12 V siren scores highest (4.20) because loudness and reliability during a power or network outage are the heaviest criteria, and a siren hanging off the battery-backed CCU through a supervised, tamper-protected loop is as reliable as it gets. The Zigbee indoor siren is only a tenth behind thanks to easy installation and hub fit. So the design uses both: a Zigbee siren indoors (quick to fit, loud enough at 95 dB) and a wired 12 V siren with strobe outdoors for deterrence and so the neighbours notice. The Wi-Fi siren was never a serious candidate; it goes quiet exactly when the network fails, which is when you need it.</t>
        </is>
      </c>
      <c r="D13" s="26" t="n"/>
      <c r="E13" s="26" t="n"/>
      <c r="F13" s="26" t="n"/>
      <c r="G13" s="26" t="n"/>
      <c r="H13" s="26" t="n"/>
      <c r="I13" s="27" t="n"/>
      <c r="J13" s="2" t="n"/>
      <c r="K13" s="2" t="n"/>
      <c r="L13" s="2"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I4"/>
    <mergeCell ref="C13:I13"/>
  </mergeCells>
  <pageMargins left="0.75" right="0.75" top="1" bottom="1" header="0.5" footer="0.5"/>
  <pageSetup orientation="landscape" fitToHeight="1" fitToWidth="1"/>
</worksheet>
</file>

<file path=xl/worksheets/sheet9.xml><?xml version="1.0" encoding="utf-8"?>
<worksheet xmlns="http://schemas.openxmlformats.org/spreadsheetml/2006/main">
  <sheetPr>
    <outlinePr summaryBelow="0" summaryRight="0"/>
    <pageSetUpPr fitToPage="1"/>
  </sheetPr>
  <dimension ref="A1:AA50"/>
  <sheetViews>
    <sheetView workbookViewId="0">
      <selection activeCell="A1" sqref="A1"/>
    </sheetView>
  </sheetViews>
  <sheetFormatPr baseColWidth="8" defaultColWidth="12.63" defaultRowHeight="15.75" customHeight="1"/>
  <cols>
    <col width="16.13" customWidth="1" style="20" min="1" max="1"/>
    <col width="30" customWidth="1" style="20" min="2" max="2"/>
    <col width="17" customWidth="1" style="20" min="3" max="3"/>
    <col width="17" customWidth="1" style="20" min="4" max="10"/>
    <col width="17" customWidth="1" style="20" min="5" max="5"/>
    <col width="17" customWidth="1" style="20" min="6" max="6"/>
    <col width="17" customWidth="1" style="20" min="7" max="7"/>
    <col width="17" customWidth="1" style="20" min="8" max="8"/>
    <col width="17" customWidth="1" style="20" min="9" max="9"/>
    <col width="17" customWidth="1" style="20" min="10" max="10"/>
    <col width="17" customWidth="1" style="20" min="11" max="11"/>
  </cols>
  <sheetData>
    <row r="1" ht="29.25" customHeight="1" s="20">
      <c r="A1" s="2" t="n"/>
      <c r="B1" s="2" t="n"/>
      <c r="C1" s="2" t="n"/>
      <c r="D1" s="2" t="n"/>
      <c r="E1" s="2" t="n"/>
      <c r="F1" s="2" t="n"/>
      <c r="G1" s="2" t="n"/>
      <c r="H1" s="2" t="n"/>
      <c r="I1" s="2" t="n"/>
      <c r="J1" s="2" t="n"/>
      <c r="K1" s="2" t="n"/>
      <c r="L1" s="2" t="n"/>
      <c r="M1" s="2" t="n"/>
      <c r="N1" s="2" t="n"/>
      <c r="O1" s="2" t="n"/>
      <c r="P1" s="2" t="n"/>
      <c r="Q1" s="2" t="n"/>
    </row>
    <row r="2" ht="17.25" customHeight="1" s="20">
      <c r="A2" s="2" t="n"/>
      <c r="B2" s="2" t="inlineStr">
        <is>
          <t>Scores: 1 (worst) – 5 (best). Weighted total = Σ score × weight / 100 (max 5.00)</t>
        </is>
      </c>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c r="A4" s="2" t="n"/>
      <c r="B4" s="25" t="inlineStr">
        <is>
          <t>Decision Matrix for Server - Local vs Cloud</t>
        </is>
      </c>
      <c r="C4" s="26" t="n"/>
      <c r="D4" s="26" t="n"/>
      <c r="E4" s="26" t="n"/>
      <c r="F4" s="26" t="n"/>
      <c r="G4" s="26" t="n"/>
      <c r="H4" s="26" t="n"/>
      <c r="I4" s="26" t="n"/>
      <c r="J4" s="26" t="n"/>
      <c r="K4" s="26" t="n"/>
      <c r="L4" s="27" t="n"/>
      <c r="M4" s="2" t="n"/>
      <c r="N4" s="2" t="n"/>
      <c r="O4" s="2" t="n"/>
      <c r="P4" s="2" t="n"/>
      <c r="Q4" s="2" t="n"/>
    </row>
    <row r="5">
      <c r="A5" s="2" t="n"/>
      <c r="B5" s="28" t="inlineStr">
        <is>
          <t>Weight %</t>
        </is>
      </c>
      <c r="C5" s="29" t="n">
        <v>10</v>
      </c>
      <c r="D5" s="29" t="n">
        <v>20</v>
      </c>
      <c r="E5" s="29" t="n">
        <v>15</v>
      </c>
      <c r="F5" s="29" t="n">
        <v>10</v>
      </c>
      <c r="G5" s="29" t="n">
        <v>5</v>
      </c>
      <c r="H5" s="29" t="n">
        <v>10</v>
      </c>
      <c r="I5" s="29" t="n">
        <v>5</v>
      </c>
      <c r="J5" s="29" t="n">
        <v>10</v>
      </c>
      <c r="K5" s="36" t="n">
        <v>15</v>
      </c>
      <c r="L5" s="2" t="n"/>
      <c r="M5" s="2" t="n"/>
      <c r="N5" s="2" t="n"/>
      <c r="O5" s="2" t="n"/>
      <c r="P5" s="2" t="n"/>
      <c r="Q5" s="2" t="n"/>
    </row>
    <row r="6" ht="80" customHeight="1" s="20">
      <c r="A6" s="7" t="n"/>
      <c r="B6" s="8" t="inlineStr">
        <is>
          <t>Alternatives</t>
        </is>
      </c>
      <c r="C6" s="30" t="inlineStr">
        <is>
          <t>Alarm response latency
[10%]</t>
        </is>
      </c>
      <c r="D6" s="30" t="inlineStr">
        <is>
          <t>Reliability / operation during internet outage
[20%]</t>
        </is>
      </c>
      <c r="E6" s="30" t="inlineStr">
        <is>
          <t>Privacy / data sovereignty
[15%]</t>
        </is>
      </c>
      <c r="F6" s="30" t="inlineStr">
        <is>
          <t>Remote access convenience
[10%]</t>
        </is>
      </c>
      <c r="G6" s="30" t="inlineStr">
        <is>
          <t>Upfront cost
[5%]</t>
        </is>
      </c>
      <c r="H6" s="30" t="inlineStr">
        <is>
          <t>Recurring cost (5-year TCO)
[10%]</t>
        </is>
      </c>
      <c r="I6" s="30" t="inlineStr">
        <is>
          <t>Scalability
[5%]</t>
        </is>
      </c>
      <c r="J6" s="30" t="inlineStr">
        <is>
          <t>Maintenance burden
[10%]</t>
        </is>
      </c>
      <c r="K6" s="30" t="inlineStr">
        <is>
          <t>Security attack surface
[15%]</t>
        </is>
      </c>
      <c r="L6" s="10" t="inlineStr">
        <is>
          <t>Total Score</t>
        </is>
      </c>
      <c r="M6" s="2" t="n"/>
      <c r="N6" s="2" t="n"/>
      <c r="O6" s="2" t="n"/>
      <c r="P6" s="2" t="n"/>
      <c r="Q6" s="2" t="n"/>
    </row>
    <row r="7" ht="63" customHeight="1" s="20">
      <c r="A7" s="7" t="n"/>
      <c r="B7" s="31" t="inlineStr">
        <is>
          <t>Local-only server (on-premises mini PC, no cloud)</t>
        </is>
      </c>
      <c r="C7" s="13" t="n">
        <v>5</v>
      </c>
      <c r="D7" s="13" t="n">
        <v>4</v>
      </c>
      <c r="E7" s="13" t="n">
        <v>5</v>
      </c>
      <c r="F7" s="13" t="n">
        <v>1</v>
      </c>
      <c r="G7" s="13" t="n">
        <v>2</v>
      </c>
      <c r="H7" s="13" t="n">
        <v>5</v>
      </c>
      <c r="I7" s="13" t="n">
        <v>3</v>
      </c>
      <c r="J7" s="13" t="n">
        <v>2</v>
      </c>
      <c r="K7" s="13" t="n">
        <v>4</v>
      </c>
      <c r="L7" s="33">
        <f>SUMPRODUCT(C7:K7,$C$5:$K$5)/100</f>
        <v/>
      </c>
      <c r="M7" s="2" t="n"/>
      <c r="N7" s="2" t="n"/>
      <c r="O7" s="2" t="n"/>
      <c r="P7" s="2" t="n"/>
      <c r="Q7" s="2" t="n"/>
    </row>
    <row r="8" ht="63" customHeight="1" s="20">
      <c r="A8" s="7" t="n"/>
      <c r="B8" s="31" t="inlineStr">
        <is>
          <t>Cloud-only (all logic and storage in vendor cloud, dumb hub)</t>
        </is>
      </c>
      <c r="C8" s="13" t="n">
        <v>2</v>
      </c>
      <c r="D8" s="13" t="n">
        <v>1</v>
      </c>
      <c r="E8" s="13" t="n">
        <v>1</v>
      </c>
      <c r="F8" s="13" t="n">
        <v>5</v>
      </c>
      <c r="G8" s="13" t="n">
        <v>5</v>
      </c>
      <c r="H8" s="13" t="n">
        <v>1</v>
      </c>
      <c r="I8" s="13" t="n">
        <v>5</v>
      </c>
      <c r="J8" s="13" t="n">
        <v>5</v>
      </c>
      <c r="K8" s="13" t="n">
        <v>2</v>
      </c>
      <c r="L8" s="33">
        <f>SUMPRODUCT(C8:K8,$C$5:$K$5)/100</f>
        <v/>
      </c>
      <c r="M8" s="2" t="n"/>
      <c r="N8" s="2" t="n"/>
      <c r="O8" s="2" t="n"/>
      <c r="P8" s="2" t="n"/>
      <c r="Q8" s="2" t="n"/>
    </row>
    <row r="9" ht="63" customHeight="1" s="20">
      <c r="A9" s="7" t="n"/>
      <c r="B9" s="31" t="inlineStr">
        <is>
          <t>Hybrid: local-first server + cloud relay (remote access, push, backup)</t>
        </is>
      </c>
      <c r="C9" s="13" t="n">
        <v>5</v>
      </c>
      <c r="D9" s="13" t="n">
        <v>5</v>
      </c>
      <c r="E9" s="13" t="n">
        <v>4</v>
      </c>
      <c r="F9" s="13" t="n">
        <v>5</v>
      </c>
      <c r="G9" s="13" t="n">
        <v>2</v>
      </c>
      <c r="H9" s="13" t="n">
        <v>3</v>
      </c>
      <c r="I9" s="13" t="n">
        <v>4</v>
      </c>
      <c r="J9" s="13" t="n">
        <v>3</v>
      </c>
      <c r="K9" s="13" t="n">
        <v>3</v>
      </c>
      <c r="L9" s="32">
        <f>SUMPRODUCT(C9:K9,$C$5:$K$5)/100</f>
        <v/>
      </c>
      <c r="M9" s="2" t="n"/>
      <c r="N9" s="2" t="n"/>
      <c r="O9" s="2" t="n"/>
      <c r="P9" s="2" t="n"/>
      <c r="Q9" s="2" t="n"/>
    </row>
    <row r="10">
      <c r="A10" s="2" t="n"/>
      <c r="B10" s="18" t="n"/>
      <c r="C10" s="18" t="n"/>
      <c r="D10" s="18" t="n"/>
      <c r="E10" s="18" t="n"/>
      <c r="F10" s="18" t="n"/>
      <c r="G10" s="18" t="n"/>
      <c r="H10" s="18" t="n"/>
      <c r="I10" s="18" t="n"/>
      <c r="J10" s="18" t="n"/>
      <c r="K10" s="2" t="n"/>
      <c r="L10" s="2" t="n"/>
      <c r="M10" s="2" t="n"/>
      <c r="N10" s="2" t="n"/>
      <c r="O10" s="2" t="n"/>
      <c r="P10" s="2" t="n"/>
      <c r="Q10" s="2" t="n"/>
    </row>
    <row r="11">
      <c r="A11" s="2" t="n"/>
      <c r="B11" s="2" t="n"/>
      <c r="C11" s="2" t="n"/>
      <c r="D11" s="2" t="n"/>
      <c r="E11" s="2" t="n"/>
      <c r="F11" s="2" t="n"/>
      <c r="G11" s="2" t="n"/>
      <c r="H11" s="2" t="n"/>
      <c r="I11" s="2" t="n"/>
      <c r="J11" s="2" t="n"/>
      <c r="K11" s="2" t="n"/>
      <c r="L11" s="2" t="n"/>
      <c r="M11" s="2" t="n"/>
      <c r="N11" s="2" t="n"/>
      <c r="O11" s="2" t="n"/>
      <c r="P11" s="2" t="n"/>
      <c r="Q11" s="2" t="n"/>
    </row>
    <row r="12">
      <c r="A12" s="2" t="n"/>
      <c r="B12" s="2" t="n"/>
      <c r="C12" s="2" t="n"/>
      <c r="D12" s="2" t="n"/>
      <c r="E12" s="2" t="n"/>
      <c r="F12" s="2" t="n"/>
      <c r="G12" s="2" t="n"/>
      <c r="H12" s="2" t="n"/>
      <c r="I12" s="2" t="n"/>
      <c r="J12" s="2" t="n"/>
      <c r="K12" s="2" t="n"/>
      <c r="L12" s="2" t="n"/>
      <c r="M12" s="2" t="n"/>
      <c r="N12" s="2" t="n"/>
      <c r="O12" s="2" t="n"/>
      <c r="P12" s="2" t="n"/>
      <c r="Q12" s="2" t="n"/>
    </row>
    <row r="13" ht="230" customHeight="1" s="20">
      <c r="A13" s="2" t="n"/>
      <c r="B13" s="34" t="inlineStr">
        <is>
          <t>Final decision:</t>
        </is>
      </c>
      <c r="C13" s="35" t="inlineStr">
        <is>
          <t>Option 3, the hybrid local-first server with a thin cloud relay (3.95), ahead of local-only (3.70) and cloud-only (2.45). This is the matrix every other decision depends on, which is why it has the most criteria. Everything that matters for safety (sensor processing, alarm logic, automations, recording) runs on the mini PC in the house, so alarm latency and behaviour during an internet outage are identical to the local-only design and nothing like cloud-only, where the house is unprotected the moment the ISP link drops. The cloud part is deliberately small: an outbound TLS relay so the app and push notifications work from anywhere without opening ports on the router, plus an encrypted off-site copy of configuration and event logs. That keeps video and personal data at home (I scored privacy 4 against 1 for a vendor cloud), keeps the attack surface smaller than a home-exposed server, and keeps running costs low because no video goes to the cloud. Local-only was genuinely close; what decided it was remote access: asking a family to configure a VPN and giving up push notifications is not realistic for a consumer product, and a stolen server takes the only copy of the logs with it. Cloud-only wins on upfront cost, maintenance and scalability, but loses on the criteria I weighted most: outage behaviour, privacy, 5-year cost and attack surface.</t>
        </is>
      </c>
      <c r="D13" s="26" t="n"/>
      <c r="E13" s="26" t="n"/>
      <c r="F13" s="26" t="n"/>
      <c r="G13" s="26" t="n"/>
      <c r="H13" s="26" t="n"/>
      <c r="I13" s="26" t="n"/>
      <c r="J13" s="26" t="n"/>
      <c r="K13" s="26" t="n"/>
      <c r="L13" s="27" t="n"/>
      <c r="M13" s="2" t="n"/>
      <c r="N13" s="2" t="n"/>
      <c r="O13" s="2" t="n"/>
      <c r="P13" s="2" t="n"/>
      <c r="Q13" s="2" t="n"/>
    </row>
    <row r="14">
      <c r="A14" s="2" t="n"/>
      <c r="B14" s="2" t="n"/>
      <c r="C14" s="2" t="n"/>
      <c r="D14" s="2" t="n"/>
      <c r="E14" s="2" t="n"/>
      <c r="F14" s="2" t="n"/>
      <c r="G14" s="2" t="n"/>
      <c r="H14" s="2" t="n"/>
      <c r="I14" s="2" t="n"/>
      <c r="J14" s="2" t="n"/>
      <c r="K14" s="2" t="n"/>
      <c r="L14" s="2" t="n"/>
      <c r="M14" s="2" t="n"/>
      <c r="N14" s="2" t="n"/>
      <c r="O14" s="2" t="n"/>
      <c r="P14" s="2" t="n"/>
      <c r="Q14" s="2" t="n"/>
    </row>
    <row r="15">
      <c r="A15" s="2" t="n"/>
      <c r="B15" s="2" t="n"/>
      <c r="C15" s="2" t="n"/>
      <c r="D15" s="2" t="n"/>
      <c r="E15" s="2" t="n"/>
      <c r="F15" s="2" t="n"/>
      <c r="G15" s="2" t="n"/>
      <c r="H15" s="2" t="n"/>
      <c r="I15" s="2" t="n"/>
      <c r="J15" s="2" t="n"/>
      <c r="K15" s="2" t="n"/>
      <c r="L15" s="2" t="n"/>
      <c r="M15" s="2" t="n"/>
      <c r="N15" s="2" t="n"/>
      <c r="O15" s="2" t="n"/>
      <c r="P15" s="2" t="n"/>
      <c r="Q15" s="2" t="n"/>
    </row>
    <row r="16">
      <c r="A16" s="2" t="n"/>
      <c r="B16" s="2" t="n"/>
      <c r="C16" s="2" t="n"/>
      <c r="D16" s="2" t="n"/>
      <c r="E16" s="2" t="n"/>
      <c r="F16" s="2" t="n"/>
      <c r="G16" s="2" t="n"/>
      <c r="H16" s="2" t="n"/>
      <c r="I16" s="2" t="n"/>
      <c r="J16" s="2" t="n"/>
      <c r="K16" s="2" t="n"/>
      <c r="L16" s="2" t="n"/>
      <c r="M16" s="2" t="n"/>
      <c r="N16" s="2" t="n"/>
      <c r="O16" s="2" t="n"/>
      <c r="P16" s="2" t="n"/>
      <c r="Q16" s="2" t="n"/>
    </row>
    <row r="17">
      <c r="A17" s="2" t="n"/>
      <c r="B17" s="2" t="n"/>
      <c r="C17" s="2" t="n"/>
      <c r="D17" s="2" t="n"/>
      <c r="E17" s="2" t="n"/>
      <c r="F17" s="2" t="n"/>
      <c r="G17" s="2" t="n"/>
      <c r="H17" s="2" t="n"/>
      <c r="I17" s="2" t="n"/>
      <c r="J17" s="2" t="n"/>
      <c r="K17" s="2" t="n"/>
      <c r="L17" s="2" t="n"/>
      <c r="M17" s="2" t="n"/>
      <c r="N17" s="2" t="n"/>
      <c r="O17" s="2" t="n"/>
      <c r="P17" s="2" t="n"/>
      <c r="Q17" s="2" t="n"/>
    </row>
    <row r="18">
      <c r="A18" s="2" t="n"/>
      <c r="B18" s="2" t="n"/>
      <c r="C18" s="2" t="n"/>
      <c r="D18" s="2" t="n"/>
      <c r="E18" s="2" t="n"/>
      <c r="F18" s="2" t="n"/>
      <c r="G18" s="2" t="n"/>
      <c r="H18" s="2" t="n"/>
      <c r="I18" s="2" t="n"/>
      <c r="J18" s="2" t="n"/>
      <c r="K18" s="2" t="n"/>
      <c r="L18" s="2" t="n"/>
      <c r="M18" s="2" t="n"/>
      <c r="N18" s="2" t="n"/>
      <c r="O18" s="2" t="n"/>
      <c r="P18" s="2" t="n"/>
      <c r="Q18" s="2" t="n"/>
    </row>
    <row r="19">
      <c r="A19" s="2" t="n"/>
      <c r="B19" s="2" t="n"/>
      <c r="C19" s="2" t="n"/>
      <c r="D19" s="2" t="n"/>
      <c r="E19" s="2" t="n"/>
      <c r="F19" s="2" t="n"/>
      <c r="G19" s="2" t="n"/>
      <c r="H19" s="2" t="n"/>
      <c r="I19" s="2" t="n"/>
      <c r="J19" s="2" t="n"/>
      <c r="K19" s="2" t="n"/>
      <c r="L19" s="2" t="n"/>
      <c r="M19" s="2" t="n"/>
      <c r="N19" s="2" t="n"/>
      <c r="O19" s="2" t="n"/>
      <c r="P19" s="2" t="n"/>
      <c r="Q19" s="2" t="n"/>
    </row>
    <row r="20">
      <c r="A20" s="2" t="n"/>
      <c r="B20" s="2" t="n"/>
      <c r="C20" s="2" t="n"/>
      <c r="D20" s="2" t="n"/>
      <c r="E20" s="2" t="n"/>
      <c r="F20" s="2" t="n"/>
      <c r="G20" s="2" t="n"/>
      <c r="H20" s="2" t="n"/>
      <c r="I20" s="2" t="n"/>
      <c r="J20" s="2" t="n"/>
      <c r="K20" s="2" t="n"/>
      <c r="L20" s="2" t="n"/>
      <c r="M20" s="2" t="n"/>
      <c r="N20" s="2" t="n"/>
      <c r="O20" s="2" t="n"/>
      <c r="P20" s="2" t="n"/>
      <c r="Q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sheetData>
  <mergeCells count="2">
    <mergeCell ref="B4:L4"/>
    <mergeCell ref="C13:L13"/>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2026-10-27T10:17:17Z</dcterms:created>
  <dcterms:modified xmlns:dcterms="http://purl.org/dc/terms/" xmlns:xsi="http://www.w3.org/2001/XMLSchema-instance" xsi:type="dcterms:W3CDTF">2026-10-27T10:17:17Z</dcterms:modified>
</cp:coreProperties>
</file>