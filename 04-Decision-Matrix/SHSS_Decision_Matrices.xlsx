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Motion Sensors" sheetId="2" state="visible" r:id="rId2"/>
    <sheet xmlns:r="http://schemas.openxmlformats.org/officeDocument/2006/relationships" name="Door-Window Sensors" sheetId="3" state="visible" r:id="rId3"/>
    <sheet xmlns:r="http://schemas.openxmlformats.org/officeDocument/2006/relationships" name="Water Leak Sensors" sheetId="4" state="visible" r:id="rId4"/>
    <sheet xmlns:r="http://schemas.openxmlformats.org/officeDocument/2006/relationships" name="Cameras" sheetId="5" state="visible" r:id="rId5"/>
    <sheet xmlns:r="http://schemas.openxmlformats.org/officeDocument/2006/relationships" name="Controllers - Smart Lock" sheetId="6" state="visible" r:id="rId6"/>
    <sheet xmlns:r="http://schemas.openxmlformats.org/officeDocument/2006/relationships" name="Controllers - Lighting" sheetId="7" state="visible" r:id="rId7"/>
    <sheet xmlns:r="http://schemas.openxmlformats.org/officeDocument/2006/relationships" name="Controllers - Siren" sheetId="8" state="visible" r:id="rId8"/>
    <sheet xmlns:r="http://schemas.openxmlformats.org/officeDocument/2006/relationships" name="Server - Local vs Cloud" sheetId="9" state="visible" r:id="rId9"/>
  </sheets>
  <definedNames>
    <definedName name="_xlnm.Print_Area" localSheetId="1">'Motion Sensors'!$A$1:$K$14</definedName>
    <definedName name="_xlnm.Print_Area" localSheetId="2">'Door-Window Sensors'!$A$1:$K$14</definedName>
    <definedName name="_xlnm.Print_Area" localSheetId="3">'Water Leak Sensors'!$A$1:$K$14</definedName>
    <definedName name="_xlnm.Print_Area" localSheetId="4">'Cameras'!$A$1:$M$14</definedName>
    <definedName name="_xlnm.Print_Area" localSheetId="5">'Controllers - Smart Lock'!$A$1:$K$14</definedName>
    <definedName name="_xlnm.Print_Area" localSheetId="6">'Controllers - Lighting'!$A$1:$K$14</definedName>
    <definedName name="_xlnm.Print_Area" localSheetId="7">'Controllers - Siren'!$A$1:$J$14</definedName>
    <definedName name="_xlnm.Print_Area" localSheetId="8">'Server - Local vs Cloud'!$A$1:$M$14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z val="14"/>
      <scheme val="minor"/>
    </font>
    <font/>
    <font>
      <name val="Arial"/>
      <color theme="1"/>
      <sz val="11"/>
      <scheme val="minor"/>
    </font>
    <font>
      <name val="Arial"/>
      <b val="1"/>
      <color theme="1"/>
      <sz val="11"/>
      <scheme val="minor"/>
    </font>
    <font>
      <name val="Arial"/>
      <b val="1"/>
      <color theme="1"/>
      <scheme val="minor"/>
    </font>
    <font>
      <name val="Arial"/>
      <i val="1"/>
      <sz val="10"/>
    </font>
    <font>
      <name val="Arial"/>
      <b val="1"/>
      <sz val="11"/>
    </font>
    <font>
      <name val="Arial"/>
      <sz val="11"/>
    </font>
    <font>
      <name val="Arial"/>
      <b val="1"/>
      <sz val="14"/>
    </font>
  </fonts>
  <fills count="4">
    <fill>
      <patternFill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</fills>
  <borders count="18">
    <border/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ck">
        <color rgb="FF000000"/>
      </left>
      <right style="thick">
        <color rgb="FFFFFFFF"/>
      </right>
      <top style="thick">
        <color rgb="FF000000"/>
      </top>
      <bottom style="thick">
        <color rgb="FFFFFFFF"/>
      </bottom>
    </border>
    <border>
      <left style="thick">
        <color rgb="FFFFFFFF"/>
      </left>
      <right style="thick">
        <color rgb="FFFFFFFF"/>
      </right>
      <top style="thick">
        <color rgb="FF000000"/>
      </top>
      <bottom style="thick">
        <color rgb="FFFFFFFF"/>
      </bottom>
    </border>
    <border>
      <left style="thick">
        <color rgb="FFFFFFFF"/>
      </left>
      <right style="thick">
        <color rgb="FF000000"/>
      </right>
      <top style="thick">
        <color rgb="FF000000"/>
      </top>
      <bottom style="thick">
        <color rgb="FFFFFFFF"/>
      </bottom>
    </border>
    <border>
      <left style="thick">
        <color rgb="FF000000"/>
      </left>
      <right style="thick">
        <color rgb="FFFFFFFF"/>
      </right>
      <top style="thick">
        <color rgb="FFFFFFFF"/>
      </top>
      <bottom style="thick">
        <color rgb="FFFFFFFF"/>
      </bottom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</border>
    <border>
      <left style="thick">
        <color rgb="FFFFFFFF"/>
      </left>
      <right style="thick">
        <color rgb="FF000000"/>
      </right>
      <top style="thick">
        <color rgb="FFFFFFFF"/>
      </top>
      <bottom style="thick">
        <color rgb="FFFFFFFF"/>
      </bottom>
    </border>
    <border>
      <left style="thick">
        <color rgb="FF000000"/>
      </left>
      <right style="thick">
        <color rgb="FFFFFFFF"/>
      </right>
      <top style="thick">
        <color rgb="FFFFFFFF"/>
      </top>
      <bottom style="thick">
        <color rgb="FF000000"/>
      </bottom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000000"/>
      </bottom>
    </border>
    <border>
      <left style="thick">
        <color rgb="FFFFFFFF"/>
      </left>
      <right style="thick">
        <color rgb="FF000000"/>
      </right>
      <top style="thick">
        <color rgb="FFFFFFFF"/>
      </top>
      <bottom style="thick">
        <color rgb="FF000000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</borders>
  <cellStyleXfs count="1">
    <xf numFmtId="0" fontId="0" fillId="0" borderId="0"/>
  </cellStyleXfs>
  <cellXfs count="37">
    <xf numFmtId="0" fontId="0" fillId="0" borderId="0" applyAlignment="1" pivotButton="0" quotePrefix="0" xfId="0">
      <alignment vertical="bottom"/>
    </xf>
    <xf numFmtId="0" fontId="1" fillId="0" borderId="1" pivotButton="0" quotePrefix="0" xfId="0"/>
    <xf numFmtId="0" fontId="1" fillId="0" borderId="1" pivotButton="0" quotePrefix="0" xfId="0"/>
    <xf numFmtId="0" fontId="2" fillId="0" borderId="2" applyAlignment="1" pivotButton="0" quotePrefix="0" xfId="0">
      <alignment horizontal="center"/>
    </xf>
    <xf numFmtId="0" fontId="3" fillId="0" borderId="3" pivotButton="0" quotePrefix="0" xfId="0"/>
    <xf numFmtId="0" fontId="3" fillId="0" borderId="4" pivotButton="0" quotePrefix="0" xfId="0"/>
    <xf numFmtId="0" fontId="1" fillId="0" borderId="5" pivotButton="0" quotePrefix="0" xfId="0"/>
    <xf numFmtId="0" fontId="1" fillId="0" borderId="2" pivotButton="0" quotePrefix="0" xfId="0"/>
    <xf numFmtId="0" fontId="4" fillId="0" borderId="6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" fillId="0" borderId="4" pivotButton="0" quotePrefix="0" xfId="0"/>
    <xf numFmtId="0" fontId="5" fillId="2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 wrapText="1"/>
    </xf>
    <xf numFmtId="0" fontId="4" fillId="3" borderId="11" applyAlignment="1" pivotButton="0" quotePrefix="0" xfId="0">
      <alignment horizontal="center" vertical="center" wrapText="1"/>
    </xf>
    <xf numFmtId="0" fontId="5" fillId="2" borderId="12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" fillId="0" borderId="15" pivotButton="0" quotePrefix="0" xfId="0"/>
    <xf numFmtId="0" fontId="6" fillId="0" borderId="1" pivotButton="0" quotePrefix="0" xfId="0"/>
    <xf numFmtId="0" fontId="0" fillId="0" borderId="0" pivotButton="0" quotePrefix="0" xfId="0"/>
    <xf numFmtId="0" fontId="10" fillId="0" borderId="0" applyAlignment="1" pivotButton="0" quotePrefix="0" xfId="0">
      <alignment vertical="top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2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7" fillId="0" borderId="5" applyAlignment="1" pivotButton="0" quotePrefix="0" xfId="0">
      <alignment horizontal="right"/>
    </xf>
    <xf numFmtId="164" fontId="7" fillId="0" borderId="5" applyAlignment="1" pivotButton="0" quotePrefix="0" xfId="0">
      <alignment horizontal="center"/>
    </xf>
    <xf numFmtId="0" fontId="5" fillId="2" borderId="7" applyAlignment="1" pivotButton="0" quotePrefix="0" xfId="0">
      <alignment horizontal="center" vertical="center" wrapText="1"/>
    </xf>
    <xf numFmtId="0" fontId="5" fillId="2" borderId="9" applyAlignment="1" pivotButton="0" quotePrefix="0" xfId="0">
      <alignment horizontal="center" vertical="center" wrapText="1"/>
    </xf>
    <xf numFmtId="2" fontId="8" fillId="3" borderId="11" applyAlignment="1" pivotButton="0" quotePrefix="0" xfId="0">
      <alignment horizontal="center" vertical="center" wrapText="1"/>
    </xf>
    <xf numFmtId="2" fontId="4" fillId="3" borderId="1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/>
    </xf>
    <xf numFmtId="0" fontId="1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horizont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5"/>
  <sheetViews>
    <sheetView workbookViewId="0">
      <selection activeCell="A1" sqref="A1"/>
    </sheetView>
  </sheetViews>
  <sheetFormatPr baseColWidth="8" defaultRowHeight="15"/>
  <cols>
    <col width="28" customWidth="1" style="20" min="1" max="1"/>
    <col width="110" customWidth="1" style="20" min="2" max="2"/>
  </cols>
  <sheetData>
    <row r="1">
      <c r="A1" s="21" t="inlineStr">
        <is>
          <t>SHSS – Trade-off Evaluation Decision Matrices</t>
        </is>
      </c>
      <c r="B1" s="22" t="inlineStr"/>
    </row>
    <row r="2">
      <c r="A2" s="23" t="inlineStr"/>
      <c r="B2" s="22" t="inlineStr"/>
    </row>
    <row r="3">
      <c r="A3" s="24" t="inlineStr">
        <is>
          <t>Scoring scale</t>
        </is>
      </c>
      <c r="B3" s="22" t="inlineStr">
        <is>
          <t>Each alternative is scored on every criterion with an integer from 1 (worst) to 5 (best).</t>
        </is>
      </c>
    </row>
    <row r="4" ht="48" customHeight="1" s="20">
      <c r="A4" s="24" t="inlineStr">
        <is>
          <t>Weighting method</t>
        </is>
      </c>
      <c r="B4" s="22" t="inlineStr">
        <is>
          <t>Each criterion carries a weight in % (row 5 of every matrix; weights sum to 100 per matrix). Total Score = SUMPRODUCT(scores, weights) / 100, i.e. a weighted average on the 1–5 scale (max 5.00). The alternative with the highest Total Score is selected; the justification is in the 'Final decision' cell.</t>
        </is>
      </c>
    </row>
    <row r="5">
      <c r="A5" s="24" t="inlineStr">
        <is>
          <t>Template</t>
        </is>
      </c>
      <c r="B5" s="22" t="inlineStr">
        <is>
          <t>Udacity Decision Matrix template; one tab per trade-off, same layout on every tab.</t>
        </is>
      </c>
    </row>
    <row r="6">
      <c r="A6" s="23" t="inlineStr"/>
      <c r="B6" s="22" t="inlineStr"/>
    </row>
    <row r="7">
      <c r="A7" s="24" t="inlineStr">
        <is>
          <t>Matrix (tab)</t>
        </is>
      </c>
      <c r="B7" s="22" t="inlineStr">
        <is>
          <t>Selected alternative (Total Score)</t>
        </is>
      </c>
    </row>
    <row r="8">
      <c r="A8" s="23" t="inlineStr">
        <is>
          <t>Motion Sensors</t>
        </is>
      </c>
      <c r="B8" s="22" t="inlineStr">
        <is>
          <t>PIR motion sensor, Zigbee 3.0, pet-immune (4.40)</t>
        </is>
      </c>
    </row>
    <row r="9">
      <c r="A9" s="23" t="inlineStr">
        <is>
          <t>Door-Window Sensors</t>
        </is>
      </c>
      <c r="B9" s="22" t="inlineStr">
        <is>
          <t>Magnetic reed contact sensor, Zigbee 3.0 (4.65)</t>
        </is>
      </c>
    </row>
    <row r="10">
      <c r="A10" s="23" t="inlineStr">
        <is>
          <t>Water Leak Sensors</t>
        </is>
      </c>
      <c r="B10" s="22" t="inlineStr">
        <is>
          <t>Zigbee spot leak sensor with probe cable (4.75)</t>
        </is>
      </c>
    </row>
    <row r="11">
      <c r="A11" s="23" t="inlineStr">
        <is>
          <t>Cameras</t>
        </is>
      </c>
      <c r="B11" s="22" t="inlineStr">
        <is>
          <t>PoE wired IP camera (ONVIF/RTSP) (4.30)</t>
        </is>
      </c>
    </row>
    <row r="12">
      <c r="A12" s="23" t="inlineStr">
        <is>
          <t>Controllers - Smart Lock</t>
        </is>
      </c>
      <c r="B12" s="22" t="inlineStr">
        <is>
          <t>Zigbee smart lock (4.35)</t>
        </is>
      </c>
    </row>
    <row r="13">
      <c r="A13" s="23" t="inlineStr">
        <is>
          <t>Controllers - Lighting</t>
        </is>
      </c>
      <c r="B13" s="22" t="inlineStr">
        <is>
          <t>Zigbee smart bulb / switch (4.85)</t>
        </is>
      </c>
    </row>
    <row r="14">
      <c r="A14" s="23" t="inlineStr">
        <is>
          <t>Controllers - Siren</t>
        </is>
      </c>
      <c r="B14" s="22" t="inlineStr">
        <is>
          <t>Wired 12 V siren on CCU relay output (4.20)</t>
        </is>
      </c>
    </row>
    <row r="15">
      <c r="A15" s="23" t="inlineStr">
        <is>
          <t>Server - Local vs Cloud</t>
        </is>
      </c>
      <c r="B15" s="22" t="inlineStr">
        <is>
          <t>Hybrid: local-first server + cloud relay (remote access, push, backup) (3.95)</t>
        </is>
      </c>
    </row>
  </sheetData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AA50"/>
  <sheetViews>
    <sheetView workbookViewId="0">
      <selection activeCell="A1" sqref="A1"/>
    </sheetView>
  </sheetViews>
  <sheetFormatPr baseColWidth="8" defaultColWidth="12.63" defaultRowHeight="15.75" customHeight="1"/>
  <cols>
    <col width="16.13" customWidth="1" style="20" min="1" max="1"/>
    <col width="30" customWidth="1" style="20" min="2" max="2"/>
    <col width="17" customWidth="1" style="20" min="3" max="3"/>
    <col width="17" customWidth="1" style="20" min="4" max="10"/>
    <col width="17" customWidth="1" style="20" min="5" max="5"/>
    <col width="17" customWidth="1" style="20" min="6" max="6"/>
    <col width="17" customWidth="1" style="20" min="7" max="7"/>
    <col width="17" customWidth="1" style="20" min="8" max="8"/>
    <col width="17" customWidth="1" style="20" min="9" max="9"/>
  </cols>
  <sheetData>
    <row r="1" ht="29.25" customHeight="1" s="20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17.25" customHeight="1" s="20">
      <c r="A2" s="2" t="n"/>
      <c r="B2" s="2" t="inlineStr">
        <is>
          <t>Scores: 1 (worst) – 5 (best). Weighted total = Σ score × weight / 100 (max 5.00)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2" t="n"/>
      <c r="B4" s="25" t="inlineStr">
        <is>
          <t>Decision Matrix for Motion Sensors</t>
        </is>
      </c>
      <c r="C4" s="26" t="n"/>
      <c r="D4" s="26" t="n"/>
      <c r="E4" s="26" t="n"/>
      <c r="F4" s="26" t="n"/>
      <c r="G4" s="26" t="n"/>
      <c r="H4" s="26" t="n"/>
      <c r="I4" s="26" t="n"/>
      <c r="J4" s="27" t="n"/>
      <c r="K4" s="2" t="n"/>
      <c r="L4" s="2" t="n"/>
      <c r="M4" s="2" t="n"/>
      <c r="N4" s="2" t="n"/>
      <c r="O4" s="2" t="n"/>
      <c r="P4" s="2" t="n"/>
      <c r="Q4" s="2" t="n"/>
    </row>
    <row r="5">
      <c r="A5" s="2" t="n"/>
      <c r="B5" s="28" t="inlineStr">
        <is>
          <t>Weight %</t>
        </is>
      </c>
      <c r="C5" s="29" t="n">
        <v>20</v>
      </c>
      <c r="D5" s="29" t="n">
        <v>20</v>
      </c>
      <c r="E5" s="29" t="n">
        <v>15</v>
      </c>
      <c r="F5" s="29" t="n">
        <v>15</v>
      </c>
      <c r="G5" s="29" t="n">
        <v>15</v>
      </c>
      <c r="H5" s="29" t="n">
        <v>5</v>
      </c>
      <c r="I5" s="29" t="n">
        <v>10</v>
      </c>
      <c r="J5" s="6" t="n"/>
      <c r="K5" s="2" t="n"/>
      <c r="L5" s="2" t="n"/>
      <c r="M5" s="2" t="n"/>
      <c r="N5" s="2" t="n"/>
      <c r="O5" s="2" t="n"/>
      <c r="P5" s="2" t="n"/>
      <c r="Q5" s="2" t="n"/>
    </row>
    <row r="6" ht="80" customHeight="1" s="20">
      <c r="A6" s="7" t="n"/>
      <c r="B6" s="8" t="inlineStr">
        <is>
          <t>Alternatives</t>
        </is>
      </c>
      <c r="C6" s="30" t="inlineStr">
        <is>
          <t>Detection accuracy
[20%]</t>
        </is>
      </c>
      <c r="D6" s="30" t="inlineStr">
        <is>
          <t>False-alarm immunity (pets/HVAC)
[20%]</t>
        </is>
      </c>
      <c r="E6" s="30" t="inlineStr">
        <is>
          <t>Battery life
[15%]</t>
        </is>
      </c>
      <c r="F6" s="30" t="inlineStr">
        <is>
          <t>Unit cost
[15%]</t>
        </is>
      </c>
      <c r="G6" s="30" t="inlineStr">
        <is>
          <t>Hub integration / protocol fit (Zigbee hub)
[15%]</t>
        </is>
      </c>
      <c r="H6" s="30" t="inlineStr">
        <is>
          <t>Installation ease
[5%]</t>
        </is>
      </c>
      <c r="I6" s="30" t="inlineStr">
        <is>
          <t>Coverage range
[10%]</t>
        </is>
      </c>
      <c r="J6" s="10" t="inlineStr">
        <is>
          <t>Total Score</t>
        </is>
      </c>
      <c r="K6" s="11" t="n"/>
      <c r="L6" s="2" t="n"/>
      <c r="M6" s="2" t="n"/>
      <c r="N6" s="2" t="n"/>
      <c r="O6" s="2" t="n"/>
      <c r="P6" s="2" t="n"/>
      <c r="Q6" s="2" t="n"/>
    </row>
    <row r="7" ht="63" customHeight="1" s="20">
      <c r="A7" s="7" t="n"/>
      <c r="B7" s="31" t="inlineStr">
        <is>
          <t>PIR motion sensor, Zigbee 3.0, pet-immune</t>
        </is>
      </c>
      <c r="C7" s="13" t="n">
        <v>4</v>
      </c>
      <c r="D7" s="13" t="n">
        <v>4</v>
      </c>
      <c r="E7" s="13" t="n">
        <v>5</v>
      </c>
      <c r="F7" s="13" t="n">
        <v>5</v>
      </c>
      <c r="G7" s="13" t="n">
        <v>5</v>
      </c>
      <c r="H7" s="13" t="n">
        <v>5</v>
      </c>
      <c r="I7" s="13" t="n">
        <v>3</v>
      </c>
      <c r="J7" s="32">
        <f>SUMPRODUCT(C7:I7,$C$5:$I$5)/100</f>
        <v/>
      </c>
      <c r="K7" s="11" t="n"/>
      <c r="L7" s="2" t="n"/>
      <c r="M7" s="2" t="n"/>
      <c r="N7" s="2" t="n"/>
      <c r="O7" s="2" t="n"/>
      <c r="P7" s="2" t="n"/>
      <c r="Q7" s="2" t="n"/>
    </row>
    <row r="8" ht="63" customHeight="1" s="20">
      <c r="A8" s="7" t="n"/>
      <c r="B8" s="31" t="inlineStr">
        <is>
          <t>Microwave motion sensor, Wi-Fi</t>
        </is>
      </c>
      <c r="C8" s="13" t="n">
        <v>4</v>
      </c>
      <c r="D8" s="13" t="n">
        <v>2</v>
      </c>
      <c r="E8" s="13" t="n">
        <v>1</v>
      </c>
      <c r="F8" s="13" t="n">
        <v>3</v>
      </c>
      <c r="G8" s="13" t="n">
        <v>2</v>
      </c>
      <c r="H8" s="13" t="n">
        <v>3</v>
      </c>
      <c r="I8" s="13" t="n">
        <v>5</v>
      </c>
      <c r="J8" s="33">
        <f>SUMPRODUCT(C8:I8,$C$5:$I$5)/100</f>
        <v/>
      </c>
      <c r="K8" s="11" t="n"/>
      <c r="L8" s="2" t="n"/>
      <c r="M8" s="2" t="n"/>
      <c r="N8" s="2" t="n"/>
      <c r="O8" s="2" t="n"/>
      <c r="P8" s="2" t="n"/>
      <c r="Q8" s="2" t="n"/>
    </row>
    <row r="9" ht="63" customHeight="1" s="20">
      <c r="A9" s="7" t="n"/>
      <c r="B9" s="31" t="inlineStr">
        <is>
          <t>Dual-technology PIR + Microwave sensor, Z-Wave</t>
        </is>
      </c>
      <c r="C9" s="13" t="n">
        <v>5</v>
      </c>
      <c r="D9" s="13" t="n">
        <v>5</v>
      </c>
      <c r="E9" s="13" t="n">
        <v>3</v>
      </c>
      <c r="F9" s="13" t="n">
        <v>2</v>
      </c>
      <c r="G9" s="13" t="n">
        <v>2</v>
      </c>
      <c r="H9" s="13" t="n">
        <v>4</v>
      </c>
      <c r="I9" s="13" t="n">
        <v>4</v>
      </c>
      <c r="J9" s="33">
        <f>SUMPRODUCT(C9:I9,$C$5:$I$5)/100</f>
        <v/>
      </c>
      <c r="K9" s="11" t="n"/>
      <c r="L9" s="2" t="n"/>
      <c r="M9" s="2" t="n"/>
      <c r="N9" s="2" t="n"/>
      <c r="O9" s="2" t="n"/>
      <c r="P9" s="2" t="n"/>
      <c r="Q9" s="2" t="n"/>
    </row>
    <row r="10">
      <c r="A10" s="2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2" t="n"/>
      <c r="L10" s="2" t="n"/>
      <c r="M10" s="2" t="n"/>
      <c r="N10" s="2" t="n"/>
      <c r="O10" s="2" t="n"/>
      <c r="P10" s="2" t="n"/>
      <c r="Q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</row>
    <row r="13" ht="150" customHeight="1" s="20">
      <c r="A13" s="2" t="n"/>
      <c r="B13" s="34" t="inlineStr">
        <is>
          <t>Final decision:</t>
        </is>
      </c>
      <c r="C13" s="35" t="inlineStr">
        <is>
          <t>Selected: Option 1 – PIR motion sensor, Zigbee 3.0, pet-immune. It scores highest overall because it combines good detection accuracy with pet/HVAC false-alarm immunity (the two heaviest criteria), multi-year battery life on a coin cell and the lowest unit cost, while joining the Zigbee hub natively without an extra radio. The dual-technology Z-Wave sensor detects slightly better but needs a second Z-Wave controller, costs about twice as much and drains batteries faster. The Wi-Fi microwave sensor is mains-dependent, prone to false alarms through walls and adds load to the home Wi-Fi.</t>
        </is>
      </c>
      <c r="D13" s="26" t="n"/>
      <c r="E13" s="26" t="n"/>
      <c r="F13" s="26" t="n"/>
      <c r="G13" s="26" t="n"/>
      <c r="H13" s="26" t="n"/>
      <c r="I13" s="26" t="n"/>
      <c r="J13" s="27" t="n"/>
      <c r="K13" s="2" t="n"/>
      <c r="L13" s="2" t="n"/>
      <c r="M13" s="2" t="n"/>
      <c r="N13" s="2" t="n"/>
      <c r="O13" s="2" t="n"/>
      <c r="P13" s="2" t="n"/>
      <c r="Q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</row>
  </sheetData>
  <mergeCells count="2">
    <mergeCell ref="B4:J4"/>
    <mergeCell ref="C13:J13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AA50"/>
  <sheetViews>
    <sheetView workbookViewId="0">
      <selection activeCell="A1" sqref="A1"/>
    </sheetView>
  </sheetViews>
  <sheetFormatPr baseColWidth="8" defaultColWidth="12.63" defaultRowHeight="15.75" customHeight="1"/>
  <cols>
    <col width="16.13" customWidth="1" style="20" min="1" max="1"/>
    <col width="30" customWidth="1" style="20" min="2" max="2"/>
    <col width="17" customWidth="1" style="20" min="3" max="3"/>
    <col width="17" customWidth="1" style="20" min="4" max="10"/>
    <col width="17" customWidth="1" style="20" min="5" max="5"/>
    <col width="17" customWidth="1" style="20" min="6" max="6"/>
    <col width="17" customWidth="1" style="20" min="7" max="7"/>
    <col width="17" customWidth="1" style="20" min="8" max="8"/>
    <col width="17" customWidth="1" style="20" min="9" max="9"/>
  </cols>
  <sheetData>
    <row r="1" ht="29.25" customHeight="1" s="20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17.25" customHeight="1" s="20">
      <c r="A2" s="2" t="n"/>
      <c r="B2" s="2" t="inlineStr">
        <is>
          <t>Scores: 1 (worst) – 5 (best). Weighted total = Σ score × weight / 100 (max 5.00)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2" t="n"/>
      <c r="B4" s="25" t="inlineStr">
        <is>
          <t>Decision Matrix for Door-Window Sensors</t>
        </is>
      </c>
      <c r="C4" s="26" t="n"/>
      <c r="D4" s="26" t="n"/>
      <c r="E4" s="26" t="n"/>
      <c r="F4" s="26" t="n"/>
      <c r="G4" s="26" t="n"/>
      <c r="H4" s="26" t="n"/>
      <c r="I4" s="26" t="n"/>
      <c r="J4" s="27" t="n"/>
      <c r="K4" s="2" t="n"/>
      <c r="L4" s="2" t="n"/>
      <c r="M4" s="2" t="n"/>
      <c r="N4" s="2" t="n"/>
      <c r="O4" s="2" t="n"/>
      <c r="P4" s="2" t="n"/>
      <c r="Q4" s="2" t="n"/>
    </row>
    <row r="5">
      <c r="A5" s="2" t="n"/>
      <c r="B5" s="28" t="inlineStr">
        <is>
          <t>Weight %</t>
        </is>
      </c>
      <c r="C5" s="29" t="n">
        <v>20</v>
      </c>
      <c r="D5" s="29" t="n">
        <v>15</v>
      </c>
      <c r="E5" s="29" t="n">
        <v>15</v>
      </c>
      <c r="F5" s="29" t="n">
        <v>20</v>
      </c>
      <c r="G5" s="29" t="n">
        <v>15</v>
      </c>
      <c r="H5" s="29" t="n">
        <v>5</v>
      </c>
      <c r="I5" s="29" t="n">
        <v>10</v>
      </c>
      <c r="J5" s="6" t="n"/>
      <c r="K5" s="2" t="n"/>
      <c r="L5" s="2" t="n"/>
      <c r="M5" s="2" t="n"/>
      <c r="N5" s="2" t="n"/>
      <c r="O5" s="2" t="n"/>
      <c r="P5" s="2" t="n"/>
      <c r="Q5" s="2" t="n"/>
    </row>
    <row r="6" ht="80" customHeight="1" s="20">
      <c r="A6" s="7" t="n"/>
      <c r="B6" s="8" t="inlineStr">
        <is>
          <t>Alternatives</t>
        </is>
      </c>
      <c r="C6" s="30" t="inlineStr">
        <is>
          <t>Reliability
[20%]</t>
        </is>
      </c>
      <c r="D6" s="30" t="inlineStr">
        <is>
          <t>Battery life / power
[15%]</t>
        </is>
      </c>
      <c r="E6" s="30" t="inlineStr">
        <is>
          <t>Unit cost
[15%]</t>
        </is>
      </c>
      <c r="F6" s="30" t="inlineStr">
        <is>
          <t>Installation ease (wiring)
[20%]</t>
        </is>
      </c>
      <c r="G6" s="30" t="inlineStr">
        <is>
          <t>Protocol fit with hub
[15%]</t>
        </is>
      </c>
      <c r="H6" s="30" t="inlineStr">
        <is>
          <t>Tamper detection
[5%]</t>
        </is>
      </c>
      <c r="I6" s="30" t="inlineStr">
        <is>
          <t>Response latency
[10%]</t>
        </is>
      </c>
      <c r="J6" s="10" t="inlineStr">
        <is>
          <t>Total Score</t>
        </is>
      </c>
      <c r="K6" s="11" t="n"/>
      <c r="L6" s="2" t="n"/>
      <c r="M6" s="2" t="n"/>
      <c r="N6" s="2" t="n"/>
      <c r="O6" s="2" t="n"/>
      <c r="P6" s="2" t="n"/>
      <c r="Q6" s="2" t="n"/>
    </row>
    <row r="7" ht="63" customHeight="1" s="20">
      <c r="A7" s="7" t="n"/>
      <c r="B7" s="31" t="inlineStr">
        <is>
          <t>Magnetic reed contact sensor, Zigbee 3.0</t>
        </is>
      </c>
      <c r="C7" s="13" t="n">
        <v>4</v>
      </c>
      <c r="D7" s="13" t="n">
        <v>5</v>
      </c>
      <c r="E7" s="13" t="n">
        <v>5</v>
      </c>
      <c r="F7" s="13" t="n">
        <v>5</v>
      </c>
      <c r="G7" s="13" t="n">
        <v>5</v>
      </c>
      <c r="H7" s="13" t="n">
        <v>4</v>
      </c>
      <c r="I7" s="13" t="n">
        <v>4</v>
      </c>
      <c r="J7" s="32">
        <f>SUMPRODUCT(C7:I7,$C$5:$I$5)/100</f>
        <v/>
      </c>
      <c r="K7" s="11" t="n"/>
      <c r="L7" s="2" t="n"/>
      <c r="M7" s="2" t="n"/>
      <c r="N7" s="2" t="n"/>
      <c r="O7" s="2" t="n"/>
      <c r="P7" s="2" t="n"/>
      <c r="Q7" s="2" t="n"/>
    </row>
    <row r="8" ht="63" customHeight="1" s="20">
      <c r="A8" s="7" t="n"/>
      <c r="B8" s="31" t="inlineStr">
        <is>
          <t>Wi-Fi contact sensor</t>
        </is>
      </c>
      <c r="C8" s="13" t="n">
        <v>3</v>
      </c>
      <c r="D8" s="13" t="n">
        <v>2</v>
      </c>
      <c r="E8" s="13" t="n">
        <v>3</v>
      </c>
      <c r="F8" s="13" t="n">
        <v>4</v>
      </c>
      <c r="G8" s="13" t="n">
        <v>2</v>
      </c>
      <c r="H8" s="13" t="n">
        <v>3</v>
      </c>
      <c r="I8" s="13" t="n">
        <v>3</v>
      </c>
      <c r="J8" s="33">
        <f>SUMPRODUCT(C8:I8,$C$5:$I$5)/100</f>
        <v/>
      </c>
      <c r="K8" s="11" t="n"/>
      <c r="L8" s="2" t="n"/>
      <c r="M8" s="2" t="n"/>
      <c r="N8" s="2" t="n"/>
      <c r="O8" s="2" t="n"/>
      <c r="P8" s="2" t="n"/>
      <c r="Q8" s="2" t="n"/>
    </row>
    <row r="9" ht="63" customHeight="1" s="20">
      <c r="A9" s="7" t="n"/>
      <c r="B9" s="31" t="inlineStr">
        <is>
          <t>Wired contact sensor to CCU input panel</t>
        </is>
      </c>
      <c r="C9" s="13" t="n">
        <v>5</v>
      </c>
      <c r="D9" s="13" t="n">
        <v>5</v>
      </c>
      <c r="E9" s="13" t="n">
        <v>4</v>
      </c>
      <c r="F9" s="13" t="n">
        <v>1</v>
      </c>
      <c r="G9" s="13" t="n">
        <v>3</v>
      </c>
      <c r="H9" s="13" t="n">
        <v>5</v>
      </c>
      <c r="I9" s="13" t="n">
        <v>5</v>
      </c>
      <c r="J9" s="33">
        <f>SUMPRODUCT(C9:I9,$C$5:$I$5)/100</f>
        <v/>
      </c>
      <c r="K9" s="11" t="n"/>
      <c r="L9" s="2" t="n"/>
      <c r="M9" s="2" t="n"/>
      <c r="N9" s="2" t="n"/>
      <c r="O9" s="2" t="n"/>
      <c r="P9" s="2" t="n"/>
      <c r="Q9" s="2" t="n"/>
    </row>
    <row r="10">
      <c r="A10" s="2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2" t="n"/>
      <c r="L10" s="2" t="n"/>
      <c r="M10" s="2" t="n"/>
      <c r="N10" s="2" t="n"/>
      <c r="O10" s="2" t="n"/>
      <c r="P10" s="2" t="n"/>
      <c r="Q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</row>
    <row r="13" ht="150" customHeight="1" s="20">
      <c r="A13" s="2" t="n"/>
      <c r="B13" s="34" t="inlineStr">
        <is>
          <t>Final decision:</t>
        </is>
      </c>
      <c r="C13" s="35" t="inlineStr">
        <is>
          <t>Selected: Option 1 – Magnetic reed contact sensor, Zigbee 3.0. It leads on the heaviest-weighted criteria – installation ease (peel-and-stick, no wiring), reliability and protocol fit with the Zigbee hub – and offers multi-year battery life at the lowest unit cost. The wired contact is the most reliable and best supervised option, but running cable to every door and window is impractical in a retrofit home. The Wi-Fi sensor drains its battery in months and bypasses the hub's local mesh.</t>
        </is>
      </c>
      <c r="D13" s="26" t="n"/>
      <c r="E13" s="26" t="n"/>
      <c r="F13" s="26" t="n"/>
      <c r="G13" s="26" t="n"/>
      <c r="H13" s="26" t="n"/>
      <c r="I13" s="26" t="n"/>
      <c r="J13" s="27" t="n"/>
      <c r="K13" s="2" t="n"/>
      <c r="L13" s="2" t="n"/>
      <c r="M13" s="2" t="n"/>
      <c r="N13" s="2" t="n"/>
      <c r="O13" s="2" t="n"/>
      <c r="P13" s="2" t="n"/>
      <c r="Q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</row>
  </sheetData>
  <mergeCells count="2">
    <mergeCell ref="B4:J4"/>
    <mergeCell ref="C13:J13"/>
  </mergeCells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outlinePr summaryBelow="0" summaryRight="0"/>
    <pageSetUpPr fitToPage="1"/>
  </sheetPr>
  <dimension ref="A1:AA50"/>
  <sheetViews>
    <sheetView workbookViewId="0">
      <selection activeCell="A1" sqref="A1"/>
    </sheetView>
  </sheetViews>
  <sheetFormatPr baseColWidth="8" defaultColWidth="12.63" defaultRowHeight="15.75" customHeight="1"/>
  <cols>
    <col width="16.13" customWidth="1" style="20" min="1" max="1"/>
    <col width="30" customWidth="1" style="20" min="2" max="2"/>
    <col width="17" customWidth="1" style="20" min="3" max="3"/>
    <col width="17" customWidth="1" style="20" min="4" max="10"/>
    <col width="17" customWidth="1" style="20" min="5" max="5"/>
    <col width="17" customWidth="1" style="20" min="6" max="6"/>
    <col width="17" customWidth="1" style="20" min="7" max="7"/>
    <col width="17" customWidth="1" style="20" min="8" max="8"/>
    <col width="17" customWidth="1" style="20" min="9" max="9"/>
  </cols>
  <sheetData>
    <row r="1" ht="29.25" customHeight="1" s="20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17.25" customHeight="1" s="20">
      <c r="A2" s="2" t="n"/>
      <c r="B2" s="2" t="inlineStr">
        <is>
          <t>Scores: 1 (worst) – 5 (best). Weighted total = Σ score × weight / 100 (max 5.00)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2" t="n"/>
      <c r="B4" s="25" t="inlineStr">
        <is>
          <t>Decision Matrix for Water Leak Sensors</t>
        </is>
      </c>
      <c r="C4" s="26" t="n"/>
      <c r="D4" s="26" t="n"/>
      <c r="E4" s="26" t="n"/>
      <c r="F4" s="26" t="n"/>
      <c r="G4" s="26" t="n"/>
      <c r="H4" s="26" t="n"/>
      <c r="I4" s="26" t="n"/>
      <c r="J4" s="27" t="n"/>
      <c r="K4" s="2" t="n"/>
      <c r="L4" s="2" t="n"/>
      <c r="M4" s="2" t="n"/>
      <c r="N4" s="2" t="n"/>
      <c r="O4" s="2" t="n"/>
      <c r="P4" s="2" t="n"/>
      <c r="Q4" s="2" t="n"/>
    </row>
    <row r="5">
      <c r="A5" s="2" t="n"/>
      <c r="B5" s="28" t="inlineStr">
        <is>
          <t>Weight %</t>
        </is>
      </c>
      <c r="C5" s="29" t="n">
        <v>20</v>
      </c>
      <c r="D5" s="29" t="n">
        <v>20</v>
      </c>
      <c r="E5" s="29" t="n">
        <v>15</v>
      </c>
      <c r="F5" s="29" t="n">
        <v>15</v>
      </c>
      <c r="G5" s="29" t="n">
        <v>15</v>
      </c>
      <c r="H5" s="29" t="n">
        <v>10</v>
      </c>
      <c r="I5" s="29" t="n">
        <v>5</v>
      </c>
      <c r="J5" s="6" t="n"/>
      <c r="K5" s="2" t="n"/>
      <c r="L5" s="2" t="n"/>
      <c r="M5" s="2" t="n"/>
      <c r="N5" s="2" t="n"/>
      <c r="O5" s="2" t="n"/>
      <c r="P5" s="2" t="n"/>
      <c r="Q5" s="2" t="n"/>
    </row>
    <row r="6" ht="80" customHeight="1" s="20">
      <c r="A6" s="7" t="n"/>
      <c r="B6" s="8" t="inlineStr">
        <is>
          <t>Alternatives</t>
        </is>
      </c>
      <c r="C6" s="30" t="inlineStr">
        <is>
          <t>Detection reliability
[20%]</t>
        </is>
      </c>
      <c r="D6" s="30" t="inlineStr">
        <is>
          <t>Battery life / power
[20%]</t>
        </is>
      </c>
      <c r="E6" s="30" t="inlineStr">
        <is>
          <t>Unit cost
[15%]</t>
        </is>
      </c>
      <c r="F6" s="30" t="inlineStr">
        <is>
          <t>Installation ease
[15%]</t>
        </is>
      </c>
      <c r="G6" s="30" t="inlineStr">
        <is>
          <t>Protocol fit with hub
[15%]</t>
        </is>
      </c>
      <c r="H6" s="30" t="inlineStr">
        <is>
          <t>Placement flexibility (probe cable reach)
[10%]</t>
        </is>
      </c>
      <c r="I6" s="30" t="inlineStr">
        <is>
          <t>Response latency
[5%]</t>
        </is>
      </c>
      <c r="J6" s="10" t="inlineStr">
        <is>
          <t>Total Score</t>
        </is>
      </c>
      <c r="K6" s="11" t="n"/>
      <c r="L6" s="2" t="n"/>
      <c r="M6" s="2" t="n"/>
      <c r="N6" s="2" t="n"/>
      <c r="O6" s="2" t="n"/>
      <c r="P6" s="2" t="n"/>
      <c r="Q6" s="2" t="n"/>
    </row>
    <row r="7" ht="63" customHeight="1" s="20">
      <c r="A7" s="7" t="n"/>
      <c r="B7" s="31" t="inlineStr">
        <is>
          <t>Zigbee spot leak sensor with probe cable</t>
        </is>
      </c>
      <c r="C7" s="13" t="n">
        <v>4</v>
      </c>
      <c r="D7" s="13" t="n">
        <v>5</v>
      </c>
      <c r="E7" s="13" t="n">
        <v>5</v>
      </c>
      <c r="F7" s="13" t="n">
        <v>5</v>
      </c>
      <c r="G7" s="13" t="n">
        <v>5</v>
      </c>
      <c r="H7" s="13" t="n">
        <v>5</v>
      </c>
      <c r="I7" s="13" t="n">
        <v>4</v>
      </c>
      <c r="J7" s="32">
        <f>SUMPRODUCT(C7:I7,$C$5:$I$5)/100</f>
        <v/>
      </c>
      <c r="K7" s="11" t="n"/>
      <c r="L7" s="2" t="n"/>
      <c r="M7" s="2" t="n"/>
      <c r="N7" s="2" t="n"/>
      <c r="O7" s="2" t="n"/>
      <c r="P7" s="2" t="n"/>
      <c r="Q7" s="2" t="n"/>
    </row>
    <row r="8" ht="63" customHeight="1" s="20">
      <c r="A8" s="7" t="n"/>
      <c r="B8" s="31" t="inlineStr">
        <is>
          <t>Wi-Fi leak sensor</t>
        </is>
      </c>
      <c r="C8" s="13" t="n">
        <v>3</v>
      </c>
      <c r="D8" s="13" t="n">
        <v>2</v>
      </c>
      <c r="E8" s="13" t="n">
        <v>3</v>
      </c>
      <c r="F8" s="13" t="n">
        <v>4</v>
      </c>
      <c r="G8" s="13" t="n">
        <v>2</v>
      </c>
      <c r="H8" s="13" t="n">
        <v>3</v>
      </c>
      <c r="I8" s="13" t="n">
        <v>3</v>
      </c>
      <c r="J8" s="33">
        <f>SUMPRODUCT(C8:I8,$C$5:$I$5)/100</f>
        <v/>
      </c>
      <c r="K8" s="11" t="n"/>
      <c r="L8" s="2" t="n"/>
      <c r="M8" s="2" t="n"/>
      <c r="N8" s="2" t="n"/>
      <c r="O8" s="2" t="n"/>
      <c r="P8" s="2" t="n"/>
      <c r="Q8" s="2" t="n"/>
    </row>
    <row r="9" ht="63" customHeight="1" s="20">
      <c r="A9" s="7" t="n"/>
      <c r="B9" s="31" t="inlineStr">
        <is>
          <t>Wired probe to CCU input panel</t>
        </is>
      </c>
      <c r="C9" s="13" t="n">
        <v>5</v>
      </c>
      <c r="D9" s="13" t="n">
        <v>5</v>
      </c>
      <c r="E9" s="13" t="n">
        <v>3</v>
      </c>
      <c r="F9" s="13" t="n">
        <v>1</v>
      </c>
      <c r="G9" s="13" t="n">
        <v>3</v>
      </c>
      <c r="H9" s="13" t="n">
        <v>2</v>
      </c>
      <c r="I9" s="13" t="n">
        <v>5</v>
      </c>
      <c r="J9" s="33">
        <f>SUMPRODUCT(C9:I9,$C$5:$I$5)/100</f>
        <v/>
      </c>
      <c r="K9" s="11" t="n"/>
      <c r="L9" s="2" t="n"/>
      <c r="M9" s="2" t="n"/>
      <c r="N9" s="2" t="n"/>
      <c r="O9" s="2" t="n"/>
      <c r="P9" s="2" t="n"/>
      <c r="Q9" s="2" t="n"/>
    </row>
    <row r="10">
      <c r="A10" s="2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2" t="n"/>
      <c r="L10" s="2" t="n"/>
      <c r="M10" s="2" t="n"/>
      <c r="N10" s="2" t="n"/>
      <c r="O10" s="2" t="n"/>
      <c r="P10" s="2" t="n"/>
      <c r="Q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</row>
    <row r="13" ht="150" customHeight="1" s="20">
      <c r="A13" s="2" t="n"/>
      <c r="B13" s="34" t="inlineStr">
        <is>
          <t>Final decision:</t>
        </is>
      </c>
      <c r="C13" s="35" t="inlineStr">
        <is>
          <t>Selected: Option 1 – Zigbee spot leak sensor with probe cable. It wins on battery life (years on a coin cell), protocol fit with the hub, unit cost and placement flexibility: the probe cable reaches under appliances and into tight spaces where a wired or bulky Wi-Fi unit cannot go. The wired probe is reliable but requires cable runs to the CCU panel from every wet location. The Wi-Fi sensor needs frequent recharging and depends on Wi-Fi coverage in basements and utility rooms.</t>
        </is>
      </c>
      <c r="D13" s="26" t="n"/>
      <c r="E13" s="26" t="n"/>
      <c r="F13" s="26" t="n"/>
      <c r="G13" s="26" t="n"/>
      <c r="H13" s="26" t="n"/>
      <c r="I13" s="26" t="n"/>
      <c r="J13" s="27" t="n"/>
      <c r="K13" s="2" t="n"/>
      <c r="L13" s="2" t="n"/>
      <c r="M13" s="2" t="n"/>
      <c r="N13" s="2" t="n"/>
      <c r="O13" s="2" t="n"/>
      <c r="P13" s="2" t="n"/>
      <c r="Q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</row>
  </sheetData>
  <mergeCells count="2">
    <mergeCell ref="B4:J4"/>
    <mergeCell ref="C13:J13"/>
  </mergeCells>
  <pageMargins left="0.75" right="0.75" top="1" bottom="1" header="0.5" footer="0.5"/>
  <pageSetup orientation="landscape" fitToHeight="1" fitToWidth="1"/>
</worksheet>
</file>

<file path=xl/worksheets/sheet5.xml><?xml version="1.0" encoding="utf-8"?>
<worksheet xmlns="http://schemas.openxmlformats.org/spreadsheetml/2006/main">
  <sheetPr>
    <outlinePr summaryBelow="0" summaryRight="0"/>
    <pageSetUpPr fitToPage="1"/>
  </sheetPr>
  <dimension ref="A1:AA50"/>
  <sheetViews>
    <sheetView workbookViewId="0">
      <selection activeCell="A1" sqref="A1"/>
    </sheetView>
  </sheetViews>
  <sheetFormatPr baseColWidth="8" defaultColWidth="12.63" defaultRowHeight="15.75" customHeight="1"/>
  <cols>
    <col width="16.13" customWidth="1" style="20" min="1" max="1"/>
    <col width="30" customWidth="1" style="20" min="2" max="2"/>
    <col width="17" customWidth="1" style="20" min="3" max="3"/>
    <col width="17" customWidth="1" style="20" min="4" max="10"/>
    <col width="17" customWidth="1" style="20" min="5" max="5"/>
    <col width="17" customWidth="1" style="20" min="6" max="6"/>
    <col width="17" customWidth="1" style="20" min="7" max="7"/>
    <col width="17" customWidth="1" style="20" min="8" max="8"/>
    <col width="17" customWidth="1" style="20" min="9" max="9"/>
    <col width="17" customWidth="1" style="20" min="10" max="10"/>
    <col width="17" customWidth="1" style="20" min="11" max="11"/>
  </cols>
  <sheetData>
    <row r="1" ht="29.25" customHeight="1" s="20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17.25" customHeight="1" s="20">
      <c r="A2" s="2" t="n"/>
      <c r="B2" s="2" t="inlineStr">
        <is>
          <t>Scores: 1 (worst) – 5 (best). Weighted total = Σ score × weight / 100 (max 5.00)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2" t="n"/>
      <c r="B4" s="25" t="inlineStr">
        <is>
          <t>Decision Matrix for Cameras</t>
        </is>
      </c>
      <c r="C4" s="26" t="n"/>
      <c r="D4" s="26" t="n"/>
      <c r="E4" s="26" t="n"/>
      <c r="F4" s="26" t="n"/>
      <c r="G4" s="26" t="n"/>
      <c r="H4" s="26" t="n"/>
      <c r="I4" s="26" t="n"/>
      <c r="J4" s="26" t="n"/>
      <c r="K4" s="26" t="n"/>
      <c r="L4" s="27" t="n"/>
      <c r="M4" s="2" t="n"/>
      <c r="N4" s="2" t="n"/>
      <c r="O4" s="2" t="n"/>
      <c r="P4" s="2" t="n"/>
      <c r="Q4" s="2" t="n"/>
    </row>
    <row r="5">
      <c r="A5" s="2" t="n"/>
      <c r="B5" s="28" t="inlineStr">
        <is>
          <t>Weight %</t>
        </is>
      </c>
      <c r="C5" s="29" t="n">
        <v>10</v>
      </c>
      <c r="D5" s="29" t="n">
        <v>15</v>
      </c>
      <c r="E5" s="29" t="n">
        <v>10</v>
      </c>
      <c r="F5" s="29" t="n">
        <v>10</v>
      </c>
      <c r="G5" s="29" t="n">
        <v>10</v>
      </c>
      <c r="H5" s="29" t="n">
        <v>15</v>
      </c>
      <c r="I5" s="29" t="n">
        <v>10</v>
      </c>
      <c r="J5" s="29" t="n">
        <v>10</v>
      </c>
      <c r="K5" s="36" t="n">
        <v>10</v>
      </c>
      <c r="L5" s="2" t="n"/>
      <c r="M5" s="2" t="n"/>
      <c r="N5" s="2" t="n"/>
      <c r="O5" s="2" t="n"/>
      <c r="P5" s="2" t="n"/>
      <c r="Q5" s="2" t="n"/>
    </row>
    <row r="6" ht="80" customHeight="1" s="20">
      <c r="A6" s="7" t="n"/>
      <c r="B6" s="8" t="inlineStr">
        <is>
          <t>Alternatives</t>
        </is>
      </c>
      <c r="C6" s="30" t="inlineStr">
        <is>
          <t>Video quality
[10%]</t>
        </is>
      </c>
      <c r="D6" s="30" t="inlineStr">
        <is>
          <t>Connection reliability
[15%]</t>
        </is>
      </c>
      <c r="E6" s="30" t="inlineStr">
        <is>
          <t>Power dependency / battery
[10%]</t>
        </is>
      </c>
      <c r="F6" s="30" t="inlineStr">
        <is>
          <t>Installation complexity
[10%]</t>
        </is>
      </c>
      <c r="G6" s="30" t="inlineStr">
        <is>
          <t>Cost (device + infrastructure)
[10%]</t>
        </is>
      </c>
      <c r="H6" s="30" t="inlineStr">
        <is>
          <t>Local recording &amp; open-standard support (ONVIF/RTSP)
[15%]</t>
        </is>
      </c>
      <c r="I6" s="30" t="inlineStr">
        <is>
          <t>Security / encryption
[10%]</t>
        </is>
      </c>
      <c r="J6" s="30" t="inlineStr">
        <is>
          <t>Bandwidth impact on Wi-Fi
[10%]</t>
        </is>
      </c>
      <c r="K6" s="30" t="inlineStr">
        <is>
          <t>Night vision
[10%]</t>
        </is>
      </c>
      <c r="L6" s="10" t="inlineStr">
        <is>
          <t>Total Score</t>
        </is>
      </c>
      <c r="M6" s="2" t="n"/>
      <c r="N6" s="2" t="n"/>
      <c r="O6" s="2" t="n"/>
      <c r="P6" s="2" t="n"/>
      <c r="Q6" s="2" t="n"/>
    </row>
    <row r="7" ht="63" customHeight="1" s="20">
      <c r="A7" s="7" t="n"/>
      <c r="B7" s="31" t="inlineStr">
        <is>
          <t>PoE wired IP camera (ONVIF/RTSP)</t>
        </is>
      </c>
      <c r="C7" s="13" t="n">
        <v>5</v>
      </c>
      <c r="D7" s="13" t="n">
        <v>5</v>
      </c>
      <c r="E7" s="13" t="n">
        <v>5</v>
      </c>
      <c r="F7" s="13" t="n">
        <v>2</v>
      </c>
      <c r="G7" s="13" t="n">
        <v>3</v>
      </c>
      <c r="H7" s="13" t="n">
        <v>5</v>
      </c>
      <c r="I7" s="13" t="n">
        <v>4</v>
      </c>
      <c r="J7" s="13" t="n">
        <v>5</v>
      </c>
      <c r="K7" s="13" t="n">
        <v>4</v>
      </c>
      <c r="L7" s="32">
        <f>SUMPRODUCT(C7:K7,$C$5:$K$5)/100</f>
        <v/>
      </c>
      <c r="M7" s="2" t="n"/>
      <c r="N7" s="2" t="n"/>
      <c r="O7" s="2" t="n"/>
      <c r="P7" s="2" t="n"/>
      <c r="Q7" s="2" t="n"/>
    </row>
    <row r="8" ht="63" customHeight="1" s="20">
      <c r="A8" s="7" t="n"/>
      <c r="B8" s="31" t="inlineStr">
        <is>
          <t>Wi-Fi mains-powered camera</t>
        </is>
      </c>
      <c r="C8" s="13" t="n">
        <v>4</v>
      </c>
      <c r="D8" s="13" t="n">
        <v>3</v>
      </c>
      <c r="E8" s="13" t="n">
        <v>4</v>
      </c>
      <c r="F8" s="13" t="n">
        <v>4</v>
      </c>
      <c r="G8" s="13" t="n">
        <v>4</v>
      </c>
      <c r="H8" s="13" t="n">
        <v>3</v>
      </c>
      <c r="I8" s="13" t="n">
        <v>3</v>
      </c>
      <c r="J8" s="13" t="n">
        <v>2</v>
      </c>
      <c r="K8" s="13" t="n">
        <v>4</v>
      </c>
      <c r="L8" s="33">
        <f>SUMPRODUCT(C8:K8,$C$5:$K$5)/100</f>
        <v/>
      </c>
      <c r="M8" s="2" t="n"/>
      <c r="N8" s="2" t="n"/>
      <c r="O8" s="2" t="n"/>
      <c r="P8" s="2" t="n"/>
      <c r="Q8" s="2" t="n"/>
    </row>
    <row r="9" ht="63" customHeight="1" s="20">
      <c r="A9" s="7" t="n"/>
      <c r="B9" s="31" t="inlineStr">
        <is>
          <t>Wi-Fi battery camera</t>
        </is>
      </c>
      <c r="C9" s="13" t="n">
        <v>3</v>
      </c>
      <c r="D9" s="13" t="n">
        <v>2</v>
      </c>
      <c r="E9" s="13" t="n">
        <v>1</v>
      </c>
      <c r="F9" s="13" t="n">
        <v>5</v>
      </c>
      <c r="G9" s="13" t="n">
        <v>3</v>
      </c>
      <c r="H9" s="13" t="n">
        <v>1</v>
      </c>
      <c r="I9" s="13" t="n">
        <v>2</v>
      </c>
      <c r="J9" s="13" t="n">
        <v>3</v>
      </c>
      <c r="K9" s="13" t="n">
        <v>3</v>
      </c>
      <c r="L9" s="33">
        <f>SUMPRODUCT(C9:K9,$C$5:$K$5)/100</f>
        <v/>
      </c>
      <c r="M9" s="2" t="n"/>
      <c r="N9" s="2" t="n"/>
      <c r="O9" s="2" t="n"/>
      <c r="P9" s="2" t="n"/>
      <c r="Q9" s="2" t="n"/>
    </row>
    <row r="10" ht="63" customHeight="1" s="20">
      <c r="A10" s="2" t="n"/>
      <c r="B10" s="31" t="inlineStr">
        <is>
          <t>Analog HD coax camera (HD-CVI/TVI) + DVR</t>
        </is>
      </c>
      <c r="C10" s="13" t="n">
        <v>3</v>
      </c>
      <c r="D10" s="13" t="n">
        <v>5</v>
      </c>
      <c r="E10" s="13" t="n">
        <v>3</v>
      </c>
      <c r="F10" s="13" t="n">
        <v>2</v>
      </c>
      <c r="G10" s="13" t="n">
        <v>4</v>
      </c>
      <c r="H10" s="13" t="n">
        <v>3</v>
      </c>
      <c r="I10" s="13" t="n">
        <v>3</v>
      </c>
      <c r="J10" s="13" t="n">
        <v>5</v>
      </c>
      <c r="K10" s="13" t="n">
        <v>4</v>
      </c>
      <c r="L10" s="33">
        <f>SUMPRODUCT(C10:K10,$C$5:$K$5)/100</f>
        <v/>
      </c>
      <c r="M10" s="2" t="n"/>
      <c r="N10" s="2" t="n"/>
      <c r="O10" s="2" t="n"/>
      <c r="P10" s="2" t="n"/>
      <c r="Q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</row>
    <row r="13" ht="230" customHeight="1" s="20">
      <c r="A13" s="2" t="n"/>
      <c r="B13" s="34" t="inlineStr">
        <is>
          <t>Final decision:</t>
        </is>
      </c>
      <c r="C13" s="35" t="inlineStr">
        <is>
          <t>Selected: Option 1 – PoE wired IP camera with ONVIF/RTSP. It dominates the highest-weighted criteria: connection reliability (dedicated cable, no Wi-Fi drop-outs), local recording with open standards (streams directly to the local server/NVR without any vendor cloud), zero Wi-Fi bandwidth impact, and power over the same cable from a UPS-backed PoE switch. Its only weakness is installation complexity (cable runs), accepted as a one-time cost. Analog HD coax is cheap and reliable but limited in resolution and integration; Wi-Fi mains cameras congest the home network; Wi-Fi battery cameras need frequent charging, record only on motion events and usually lock recordings into a cloud subscription.</t>
        </is>
      </c>
      <c r="D13" s="26" t="n"/>
      <c r="E13" s="26" t="n"/>
      <c r="F13" s="26" t="n"/>
      <c r="G13" s="26" t="n"/>
      <c r="H13" s="26" t="n"/>
      <c r="I13" s="26" t="n"/>
      <c r="J13" s="26" t="n"/>
      <c r="K13" s="26" t="n"/>
      <c r="L13" s="27" t="n"/>
      <c r="M13" s="2" t="n"/>
      <c r="N13" s="2" t="n"/>
      <c r="O13" s="2" t="n"/>
      <c r="P13" s="2" t="n"/>
      <c r="Q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</row>
  </sheetData>
  <mergeCells count="2">
    <mergeCell ref="B4:L4"/>
    <mergeCell ref="C13:L13"/>
  </mergeCells>
  <pageMargins left="0.75" right="0.75" top="1" bottom="1" header="0.5" footer="0.5"/>
  <pageSetup orientation="landscape" fitToHeight="1" fitToWidth="1"/>
</worksheet>
</file>

<file path=xl/worksheets/sheet6.xml><?xml version="1.0" encoding="utf-8"?>
<worksheet xmlns="http://schemas.openxmlformats.org/spreadsheetml/2006/main">
  <sheetPr>
    <outlinePr summaryBelow="0" summaryRight="0"/>
    <pageSetUpPr fitToPage="1"/>
  </sheetPr>
  <dimension ref="A1:AA50"/>
  <sheetViews>
    <sheetView workbookViewId="0">
      <selection activeCell="A1" sqref="A1"/>
    </sheetView>
  </sheetViews>
  <sheetFormatPr baseColWidth="8" defaultColWidth="12.63" defaultRowHeight="15.75" customHeight="1"/>
  <cols>
    <col width="16.13" customWidth="1" style="20" min="1" max="1"/>
    <col width="30" customWidth="1" style="20" min="2" max="2"/>
    <col width="17" customWidth="1" style="20" min="3" max="3"/>
    <col width="17" customWidth="1" style="20" min="4" max="10"/>
    <col width="17" customWidth="1" style="20" min="5" max="5"/>
    <col width="17" customWidth="1" style="20" min="6" max="6"/>
    <col width="17" customWidth="1" style="20" min="7" max="7"/>
    <col width="17" customWidth="1" style="20" min="8" max="8"/>
    <col width="17" customWidth="1" style="20" min="9" max="9"/>
  </cols>
  <sheetData>
    <row r="1" ht="29.25" customHeight="1" s="20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17.25" customHeight="1" s="20">
      <c r="A2" s="2" t="n"/>
      <c r="B2" s="2" t="inlineStr">
        <is>
          <t>Scores: 1 (worst) – 5 (best). Weighted total = Σ score × weight / 100 (max 5.00)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2" t="n"/>
      <c r="B4" s="25" t="inlineStr">
        <is>
          <t>Decision Matrix for Controllers - Smart Lock</t>
        </is>
      </c>
      <c r="C4" s="26" t="n"/>
      <c r="D4" s="26" t="n"/>
      <c r="E4" s="26" t="n"/>
      <c r="F4" s="26" t="n"/>
      <c r="G4" s="26" t="n"/>
      <c r="H4" s="26" t="n"/>
      <c r="I4" s="26" t="n"/>
      <c r="J4" s="27" t="n"/>
      <c r="K4" s="2" t="n"/>
      <c r="L4" s="2" t="n"/>
      <c r="M4" s="2" t="n"/>
      <c r="N4" s="2" t="n"/>
      <c r="O4" s="2" t="n"/>
      <c r="P4" s="2" t="n"/>
      <c r="Q4" s="2" t="n"/>
    </row>
    <row r="5">
      <c r="A5" s="2" t="n"/>
      <c r="B5" s="28" t="inlineStr">
        <is>
          <t>Weight %</t>
        </is>
      </c>
      <c r="C5" s="29" t="n">
        <v>20</v>
      </c>
      <c r="D5" s="29" t="n">
        <v>20</v>
      </c>
      <c r="E5" s="29" t="n">
        <v>20</v>
      </c>
      <c r="F5" s="29" t="n">
        <v>10</v>
      </c>
      <c r="G5" s="29" t="n">
        <v>10</v>
      </c>
      <c r="H5" s="29" t="n">
        <v>15</v>
      </c>
      <c r="I5" s="29" t="n">
        <v>5</v>
      </c>
      <c r="J5" s="6" t="n"/>
      <c r="K5" s="2" t="n"/>
      <c r="L5" s="2" t="n"/>
      <c r="M5" s="2" t="n"/>
      <c r="N5" s="2" t="n"/>
      <c r="O5" s="2" t="n"/>
      <c r="P5" s="2" t="n"/>
      <c r="Q5" s="2" t="n"/>
    </row>
    <row r="6" ht="80" customHeight="1" s="20">
      <c r="A6" s="7" t="n"/>
      <c r="B6" s="8" t="inlineStr">
        <is>
          <t>Alternatives</t>
        </is>
      </c>
      <c r="C6" s="30" t="inlineStr">
        <is>
          <t>Battery life
[20%]</t>
        </is>
      </c>
      <c r="D6" s="30" t="inlineStr">
        <is>
          <t>Security (encryption, tamper)
[20%]</t>
        </is>
      </c>
      <c r="E6" s="30" t="inlineStr">
        <is>
          <t>Protocol fit with hub
[20%]</t>
        </is>
      </c>
      <c r="F6" s="30" t="inlineStr">
        <is>
          <t>Unit cost
[10%]</t>
        </is>
      </c>
      <c r="G6" s="30" t="inlineStr">
        <is>
          <t>Response latency
[10%]</t>
        </is>
      </c>
      <c r="H6" s="30" t="inlineStr">
        <is>
          <t>Offline operation (works without internet)
[15%]</t>
        </is>
      </c>
      <c r="I6" s="30" t="inlineStr">
        <is>
          <t>Ease of installation
[5%]</t>
        </is>
      </c>
      <c r="J6" s="10" t="inlineStr">
        <is>
          <t>Total Score</t>
        </is>
      </c>
      <c r="K6" s="11" t="n"/>
      <c r="L6" s="2" t="n"/>
      <c r="M6" s="2" t="n"/>
      <c r="N6" s="2" t="n"/>
      <c r="O6" s="2" t="n"/>
      <c r="P6" s="2" t="n"/>
      <c r="Q6" s="2" t="n"/>
    </row>
    <row r="7" ht="63" customHeight="1" s="20">
      <c r="A7" s="7" t="n"/>
      <c r="B7" s="31" t="inlineStr">
        <is>
          <t>Zigbee smart lock</t>
        </is>
      </c>
      <c r="C7" s="13" t="n">
        <v>4</v>
      </c>
      <c r="D7" s="13" t="n">
        <v>4</v>
      </c>
      <c r="E7" s="13" t="n">
        <v>5</v>
      </c>
      <c r="F7" s="13" t="n">
        <v>4</v>
      </c>
      <c r="G7" s="13" t="n">
        <v>4</v>
      </c>
      <c r="H7" s="13" t="n">
        <v>5</v>
      </c>
      <c r="I7" s="13" t="n">
        <v>4</v>
      </c>
      <c r="J7" s="32">
        <f>SUMPRODUCT(C7:I7,$C$5:$I$5)/100</f>
        <v/>
      </c>
      <c r="K7" s="11" t="n"/>
      <c r="L7" s="2" t="n"/>
      <c r="M7" s="2" t="n"/>
      <c r="N7" s="2" t="n"/>
      <c r="O7" s="2" t="n"/>
      <c r="P7" s="2" t="n"/>
      <c r="Q7" s="2" t="n"/>
    </row>
    <row r="8" ht="63" customHeight="1" s="20">
      <c r="A8" s="7" t="n"/>
      <c r="B8" s="31" t="inlineStr">
        <is>
          <t>Z-Wave smart lock</t>
        </is>
      </c>
      <c r="C8" s="13" t="n">
        <v>4</v>
      </c>
      <c r="D8" s="13" t="n">
        <v>5</v>
      </c>
      <c r="E8" s="13" t="n">
        <v>2</v>
      </c>
      <c r="F8" s="13" t="n">
        <v>3</v>
      </c>
      <c r="G8" s="13" t="n">
        <v>4</v>
      </c>
      <c r="H8" s="13" t="n">
        <v>5</v>
      </c>
      <c r="I8" s="13" t="n">
        <v>4</v>
      </c>
      <c r="J8" s="33">
        <f>SUMPRODUCT(C8:I8,$C$5:$I$5)/100</f>
        <v/>
      </c>
      <c r="K8" s="11" t="n"/>
      <c r="L8" s="2" t="n"/>
      <c r="M8" s="2" t="n"/>
      <c r="N8" s="2" t="n"/>
      <c r="O8" s="2" t="n"/>
      <c r="P8" s="2" t="n"/>
      <c r="Q8" s="2" t="n"/>
    </row>
    <row r="9" ht="63" customHeight="1" s="20">
      <c r="A9" s="7" t="n"/>
      <c r="B9" s="31" t="inlineStr">
        <is>
          <t>Wi-Fi smart lock</t>
        </is>
      </c>
      <c r="C9" s="13" t="n">
        <v>1</v>
      </c>
      <c r="D9" s="13" t="n">
        <v>3</v>
      </c>
      <c r="E9" s="13" t="n">
        <v>2</v>
      </c>
      <c r="F9" s="13" t="n">
        <v>3</v>
      </c>
      <c r="G9" s="13" t="n">
        <v>3</v>
      </c>
      <c r="H9" s="13" t="n">
        <v>2</v>
      </c>
      <c r="I9" s="13" t="n">
        <v>4</v>
      </c>
      <c r="J9" s="33">
        <f>SUMPRODUCT(C9:I9,$C$5:$I$5)/100</f>
        <v/>
      </c>
      <c r="K9" s="11" t="n"/>
      <c r="L9" s="2" t="n"/>
      <c r="M9" s="2" t="n"/>
      <c r="N9" s="2" t="n"/>
      <c r="O9" s="2" t="n"/>
      <c r="P9" s="2" t="n"/>
      <c r="Q9" s="2" t="n"/>
    </row>
    <row r="10">
      <c r="A10" s="2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2" t="n"/>
      <c r="L10" s="2" t="n"/>
      <c r="M10" s="2" t="n"/>
      <c r="N10" s="2" t="n"/>
      <c r="O10" s="2" t="n"/>
      <c r="P10" s="2" t="n"/>
      <c r="Q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</row>
    <row r="13" ht="150" customHeight="1" s="20">
      <c r="A13" s="2" t="n"/>
      <c r="B13" s="34" t="inlineStr">
        <is>
          <t>Final decision:</t>
        </is>
      </c>
      <c r="C13" s="35" t="inlineStr">
        <is>
          <t>Selected: Option 1 – Zigbee smart lock. It scores best on the three top-weighted criteria taken together: native protocol fit with the Zigbee hub (no extra radio), fully offline operation through local automations, and solid security with Zigbee 3.0 AES-128 link keys plus tamper and low-battery reporting, with battery life of many months. The Z-Wave lock offers S2 security but requires an additional Z-Wave controller and costs more. The Wi-Fi lock drains its battery within weeks and typically depends on the vendor cloud to operate.</t>
        </is>
      </c>
      <c r="D13" s="26" t="n"/>
      <c r="E13" s="26" t="n"/>
      <c r="F13" s="26" t="n"/>
      <c r="G13" s="26" t="n"/>
      <c r="H13" s="26" t="n"/>
      <c r="I13" s="26" t="n"/>
      <c r="J13" s="27" t="n"/>
      <c r="K13" s="2" t="n"/>
      <c r="L13" s="2" t="n"/>
      <c r="M13" s="2" t="n"/>
      <c r="N13" s="2" t="n"/>
      <c r="O13" s="2" t="n"/>
      <c r="P13" s="2" t="n"/>
      <c r="Q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</row>
  </sheetData>
  <mergeCells count="2">
    <mergeCell ref="B4:J4"/>
    <mergeCell ref="C13:J13"/>
  </mergeCells>
  <pageMargins left="0.75" right="0.75" top="1" bottom="1" header="0.5" footer="0.5"/>
  <pageSetup orientation="landscape" fitToHeight="1" fitToWidth="1"/>
</worksheet>
</file>

<file path=xl/worksheets/sheet7.xml><?xml version="1.0" encoding="utf-8"?>
<worksheet xmlns="http://schemas.openxmlformats.org/spreadsheetml/2006/main">
  <sheetPr>
    <outlinePr summaryBelow="0" summaryRight="0"/>
    <pageSetUpPr fitToPage="1"/>
  </sheetPr>
  <dimension ref="A1:AA50"/>
  <sheetViews>
    <sheetView workbookViewId="0">
      <selection activeCell="A1" sqref="A1"/>
    </sheetView>
  </sheetViews>
  <sheetFormatPr baseColWidth="8" defaultColWidth="12.63" defaultRowHeight="15.75" customHeight="1"/>
  <cols>
    <col width="16.13" customWidth="1" style="20" min="1" max="1"/>
    <col width="30" customWidth="1" style="20" min="2" max="2"/>
    <col width="17" customWidth="1" style="20" min="3" max="3"/>
    <col width="17" customWidth="1" style="20" min="4" max="10"/>
    <col width="17" customWidth="1" style="20" min="5" max="5"/>
    <col width="17" customWidth="1" style="20" min="6" max="6"/>
    <col width="17" customWidth="1" style="20" min="7" max="7"/>
    <col width="17" customWidth="1" style="20" min="8" max="8"/>
    <col width="17" customWidth="1" style="20" min="9" max="9"/>
  </cols>
  <sheetData>
    <row r="1" ht="29.25" customHeight="1" s="20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17.25" customHeight="1" s="20">
      <c r="A2" s="2" t="n"/>
      <c r="B2" s="2" t="inlineStr">
        <is>
          <t>Scores: 1 (worst) – 5 (best). Weighted total = Σ score × weight / 100 (max 5.00)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2" t="n"/>
      <c r="B4" s="25" t="inlineStr">
        <is>
          <t>Decision Matrix for Controllers - Lighting</t>
        </is>
      </c>
      <c r="C4" s="26" t="n"/>
      <c r="D4" s="26" t="n"/>
      <c r="E4" s="26" t="n"/>
      <c r="F4" s="26" t="n"/>
      <c r="G4" s="26" t="n"/>
      <c r="H4" s="26" t="n"/>
      <c r="I4" s="26" t="n"/>
      <c r="J4" s="27" t="n"/>
      <c r="K4" s="2" t="n"/>
      <c r="L4" s="2" t="n"/>
      <c r="M4" s="2" t="n"/>
      <c r="N4" s="2" t="n"/>
      <c r="O4" s="2" t="n"/>
      <c r="P4" s="2" t="n"/>
      <c r="Q4" s="2" t="n"/>
    </row>
    <row r="5">
      <c r="A5" s="2" t="n"/>
      <c r="B5" s="28" t="inlineStr">
        <is>
          <t>Weight %</t>
        </is>
      </c>
      <c r="C5" s="29" t="n">
        <v>20</v>
      </c>
      <c r="D5" s="29" t="n">
        <v>15</v>
      </c>
      <c r="E5" s="29" t="n">
        <v>20</v>
      </c>
      <c r="F5" s="29" t="n">
        <v>15</v>
      </c>
      <c r="G5" s="29" t="n">
        <v>10</v>
      </c>
      <c r="H5" s="29" t="n">
        <v>10</v>
      </c>
      <c r="I5" s="29" t="n">
        <v>10</v>
      </c>
      <c r="J5" s="6" t="n"/>
      <c r="K5" s="2" t="n"/>
      <c r="L5" s="2" t="n"/>
      <c r="M5" s="2" t="n"/>
      <c r="N5" s="2" t="n"/>
      <c r="O5" s="2" t="n"/>
      <c r="P5" s="2" t="n"/>
      <c r="Q5" s="2" t="n"/>
    </row>
    <row r="6" ht="80" customHeight="1" s="20">
      <c r="A6" s="7" t="n"/>
      <c r="B6" s="8" t="inlineStr">
        <is>
          <t>Alternatives</t>
        </is>
      </c>
      <c r="C6" s="30" t="inlineStr">
        <is>
          <t>Protocol fit with hub
[20%]</t>
        </is>
      </c>
      <c r="D6" s="30" t="inlineStr">
        <is>
          <t>Mesh contribution (extends Zigbee network)
[15%]</t>
        </is>
      </c>
      <c r="E6" s="30" t="inlineStr">
        <is>
          <t>Local control / offline operation
[20%]</t>
        </is>
      </c>
      <c r="F6" s="30" t="inlineStr">
        <is>
          <t>Unit cost
[15%]</t>
        </is>
      </c>
      <c r="G6" s="30" t="inlineStr">
        <is>
          <t>Response latency
[10%]</t>
        </is>
      </c>
      <c r="H6" s="30" t="inlineStr">
        <is>
          <t>Installation ease
[10%]</t>
        </is>
      </c>
      <c r="I6" s="30" t="inlineStr">
        <is>
          <t>Dimming / scene features
[10%]</t>
        </is>
      </c>
      <c r="J6" s="10" t="inlineStr">
        <is>
          <t>Total Score</t>
        </is>
      </c>
      <c r="K6" s="11" t="n"/>
      <c r="L6" s="2" t="n"/>
      <c r="M6" s="2" t="n"/>
      <c r="N6" s="2" t="n"/>
      <c r="O6" s="2" t="n"/>
      <c r="P6" s="2" t="n"/>
      <c r="Q6" s="2" t="n"/>
    </row>
    <row r="7" ht="63" customHeight="1" s="20">
      <c r="A7" s="7" t="n"/>
      <c r="B7" s="31" t="inlineStr">
        <is>
          <t>Zigbee smart bulb / switch</t>
        </is>
      </c>
      <c r="C7" s="13" t="n">
        <v>5</v>
      </c>
      <c r="D7" s="13" t="n">
        <v>5</v>
      </c>
      <c r="E7" s="13" t="n">
        <v>5</v>
      </c>
      <c r="F7" s="13" t="n">
        <v>4</v>
      </c>
      <c r="G7" s="13" t="n">
        <v>5</v>
      </c>
      <c r="H7" s="13" t="n">
        <v>5</v>
      </c>
      <c r="I7" s="13" t="n">
        <v>5</v>
      </c>
      <c r="J7" s="32">
        <f>SUMPRODUCT(C7:I7,$C$5:$I$5)/100</f>
        <v/>
      </c>
      <c r="K7" s="11" t="n"/>
      <c r="L7" s="2" t="n"/>
      <c r="M7" s="2" t="n"/>
      <c r="N7" s="2" t="n"/>
      <c r="O7" s="2" t="n"/>
      <c r="P7" s="2" t="n"/>
      <c r="Q7" s="2" t="n"/>
    </row>
    <row r="8" ht="63" customHeight="1" s="20">
      <c r="A8" s="7" t="n"/>
      <c r="B8" s="31" t="inlineStr">
        <is>
          <t>Wi-Fi smart plug</t>
        </is>
      </c>
      <c r="C8" s="13" t="n">
        <v>2</v>
      </c>
      <c r="D8" s="13" t="n">
        <v>1</v>
      </c>
      <c r="E8" s="13" t="n">
        <v>2</v>
      </c>
      <c r="F8" s="13" t="n">
        <v>5</v>
      </c>
      <c r="G8" s="13" t="n">
        <v>3</v>
      </c>
      <c r="H8" s="13" t="n">
        <v>5</v>
      </c>
      <c r="I8" s="13" t="n">
        <v>2</v>
      </c>
      <c r="J8" s="33">
        <f>SUMPRODUCT(C8:I8,$C$5:$I$5)/100</f>
        <v/>
      </c>
      <c r="K8" s="11" t="n"/>
      <c r="L8" s="2" t="n"/>
      <c r="M8" s="2" t="n"/>
      <c r="N8" s="2" t="n"/>
      <c r="O8" s="2" t="n"/>
      <c r="P8" s="2" t="n"/>
      <c r="Q8" s="2" t="n"/>
    </row>
    <row r="9" ht="63" customHeight="1" s="20">
      <c r="A9" s="7" t="n"/>
      <c r="B9" s="31" t="inlineStr">
        <is>
          <t>Z-Wave in-wall switch</t>
        </is>
      </c>
      <c r="C9" s="13" t="n">
        <v>2</v>
      </c>
      <c r="D9" s="13" t="n">
        <v>2</v>
      </c>
      <c r="E9" s="13" t="n">
        <v>5</v>
      </c>
      <c r="F9" s="13" t="n">
        <v>2</v>
      </c>
      <c r="G9" s="13" t="n">
        <v>4</v>
      </c>
      <c r="H9" s="13" t="n">
        <v>2</v>
      </c>
      <c r="I9" s="13" t="n">
        <v>4</v>
      </c>
      <c r="J9" s="33">
        <f>SUMPRODUCT(C9:I9,$C$5:$I$5)/100</f>
        <v/>
      </c>
      <c r="K9" s="11" t="n"/>
      <c r="L9" s="2" t="n"/>
      <c r="M9" s="2" t="n"/>
      <c r="N9" s="2" t="n"/>
      <c r="O9" s="2" t="n"/>
      <c r="P9" s="2" t="n"/>
      <c r="Q9" s="2" t="n"/>
    </row>
    <row r="10">
      <c r="A10" s="2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2" t="n"/>
      <c r="L10" s="2" t="n"/>
      <c r="M10" s="2" t="n"/>
      <c r="N10" s="2" t="n"/>
      <c r="O10" s="2" t="n"/>
      <c r="P10" s="2" t="n"/>
      <c r="Q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</row>
    <row r="13" ht="150" customHeight="1" s="20">
      <c r="A13" s="2" t="n"/>
      <c r="B13" s="34" t="inlineStr">
        <is>
          <t>Final decision:</t>
        </is>
      </c>
      <c r="C13" s="35" t="inlineStr">
        <is>
          <t>Selected: Option 1 – Zigbee smart bulb / switch. It fits the Zigbee hub natively, is controlled locally without internet, responds instantly to alarm scenes (flash all lights on intrusion) and – because mains-powered Zigbee devices act as mesh routers – every light strengthens the coverage of the battery sensor network. Wi-Fi smart plugs are cheap but on/off only, add Wi-Fi load and often depend on the vendor cloud. Z-Wave in-wall switches need in-wall wiring and a second radio, and do not extend the Zigbee mesh.</t>
        </is>
      </c>
      <c r="D13" s="26" t="n"/>
      <c r="E13" s="26" t="n"/>
      <c r="F13" s="26" t="n"/>
      <c r="G13" s="26" t="n"/>
      <c r="H13" s="26" t="n"/>
      <c r="I13" s="26" t="n"/>
      <c r="J13" s="27" t="n"/>
      <c r="K13" s="2" t="n"/>
      <c r="L13" s="2" t="n"/>
      <c r="M13" s="2" t="n"/>
      <c r="N13" s="2" t="n"/>
      <c r="O13" s="2" t="n"/>
      <c r="P13" s="2" t="n"/>
      <c r="Q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</row>
  </sheetData>
  <mergeCells count="2">
    <mergeCell ref="B4:J4"/>
    <mergeCell ref="C13:J13"/>
  </mergeCells>
  <pageMargins left="0.75" right="0.75" top="1" bottom="1" header="0.5" footer="0.5"/>
  <pageSetup orientation="landscape" fitToHeight="1" fitToWidth="1"/>
</worksheet>
</file>

<file path=xl/worksheets/sheet8.xml><?xml version="1.0" encoding="utf-8"?>
<worksheet xmlns="http://schemas.openxmlformats.org/spreadsheetml/2006/main">
  <sheetPr>
    <outlinePr summaryBelow="0" summaryRight="0"/>
    <pageSetUpPr fitToPage="1"/>
  </sheetPr>
  <dimension ref="A1:AA50"/>
  <sheetViews>
    <sheetView workbookViewId="0">
      <selection activeCell="A1" sqref="A1"/>
    </sheetView>
  </sheetViews>
  <sheetFormatPr baseColWidth="8" defaultColWidth="12.63" defaultRowHeight="15.75" customHeight="1"/>
  <cols>
    <col width="16.13" customWidth="1" style="20" min="1" max="1"/>
    <col width="30" customWidth="1" style="20" min="2" max="2"/>
    <col width="17" customWidth="1" style="20" min="3" max="3"/>
    <col width="17" customWidth="1" style="20" min="4" max="10"/>
    <col width="17" customWidth="1" style="20" min="5" max="5"/>
    <col width="17" customWidth="1" style="20" min="6" max="6"/>
    <col width="17" customWidth="1" style="20" min="7" max="7"/>
    <col width="17" customWidth="1" style="20" min="8" max="8"/>
  </cols>
  <sheetData>
    <row r="1" ht="29.25" customHeight="1" s="20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17.25" customHeight="1" s="20">
      <c r="A2" s="2" t="n"/>
      <c r="B2" s="2" t="inlineStr">
        <is>
          <t>Scores: 1 (worst) – 5 (best). Weighted total = Σ score × weight / 100 (max 5.00)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2" t="n"/>
      <c r="B4" s="25" t="inlineStr">
        <is>
          <t>Decision Matrix for Controllers - Siren</t>
        </is>
      </c>
      <c r="C4" s="26" t="n"/>
      <c r="D4" s="26" t="n"/>
      <c r="E4" s="26" t="n"/>
      <c r="F4" s="26" t="n"/>
      <c r="G4" s="26" t="n"/>
      <c r="H4" s="26" t="n"/>
      <c r="I4" s="27" t="n"/>
      <c r="K4" s="2" t="n"/>
      <c r="L4" s="2" t="n"/>
      <c r="M4" s="2" t="n"/>
      <c r="N4" s="2" t="n"/>
      <c r="O4" s="2" t="n"/>
      <c r="P4" s="2" t="n"/>
      <c r="Q4" s="2" t="n"/>
    </row>
    <row r="5">
      <c r="A5" s="2" t="n"/>
      <c r="B5" s="28" t="inlineStr">
        <is>
          <t>Weight %</t>
        </is>
      </c>
      <c r="C5" s="29" t="n">
        <v>20</v>
      </c>
      <c r="D5" s="29" t="n">
        <v>25</v>
      </c>
      <c r="E5" s="29" t="n">
        <v>10</v>
      </c>
      <c r="F5" s="29" t="n">
        <v>15</v>
      </c>
      <c r="G5" s="29" t="n">
        <v>15</v>
      </c>
      <c r="H5" s="29" t="n">
        <v>15</v>
      </c>
      <c r="I5" s="6" t="n"/>
      <c r="J5" s="6" t="n"/>
      <c r="K5" s="2" t="n"/>
      <c r="L5" s="2" t="n"/>
      <c r="M5" s="2" t="n"/>
      <c r="N5" s="2" t="n"/>
      <c r="O5" s="2" t="n"/>
      <c r="P5" s="2" t="n"/>
      <c r="Q5" s="2" t="n"/>
    </row>
    <row r="6" ht="80" customHeight="1" s="20">
      <c r="A6" s="7" t="n"/>
      <c r="B6" s="8" t="inlineStr">
        <is>
          <t>Alternatives</t>
        </is>
      </c>
      <c r="C6" s="30" t="inlineStr">
        <is>
          <t>Loudness
[20%]</t>
        </is>
      </c>
      <c r="D6" s="30" t="inlineStr">
        <is>
          <t>Reliability during power / Wi-Fi outage
[25%]</t>
        </is>
      </c>
      <c r="E6" s="30" t="inlineStr">
        <is>
          <t>Cost
[10%]</t>
        </is>
      </c>
      <c r="F6" s="30" t="inlineStr">
        <is>
          <t>Installation
[15%]</t>
        </is>
      </c>
      <c r="G6" s="30" t="inlineStr">
        <is>
          <t>Protocol fit
[15%]</t>
        </is>
      </c>
      <c r="H6" s="30" t="inlineStr">
        <is>
          <t>Tamper / supervision
[15%]</t>
        </is>
      </c>
      <c r="I6" s="10" t="inlineStr">
        <is>
          <t>Total Score</t>
        </is>
      </c>
      <c r="J6" s="2" t="n"/>
      <c r="K6" s="11" t="n"/>
      <c r="L6" s="2" t="n"/>
      <c r="M6" s="2" t="n"/>
      <c r="N6" s="2" t="n"/>
      <c r="O6" s="2" t="n"/>
      <c r="P6" s="2" t="n"/>
      <c r="Q6" s="2" t="n"/>
    </row>
    <row r="7" ht="63" customHeight="1" s="20">
      <c r="A7" s="7" t="n"/>
      <c r="B7" s="31" t="inlineStr">
        <is>
          <t>Zigbee indoor siren (battery + mains)</t>
        </is>
      </c>
      <c r="C7" s="13" t="n">
        <v>3</v>
      </c>
      <c r="D7" s="13" t="n">
        <v>4</v>
      </c>
      <c r="E7" s="13" t="n">
        <v>4</v>
      </c>
      <c r="F7" s="13" t="n">
        <v>5</v>
      </c>
      <c r="G7" s="13" t="n">
        <v>5</v>
      </c>
      <c r="H7" s="13" t="n">
        <v>4</v>
      </c>
      <c r="I7" s="33">
        <f>SUMPRODUCT(C7:H7,$C$5:$H$5)/100</f>
        <v/>
      </c>
      <c r="J7" s="2" t="n"/>
      <c r="K7" s="11" t="n"/>
      <c r="L7" s="2" t="n"/>
      <c r="M7" s="2" t="n"/>
      <c r="N7" s="2" t="n"/>
      <c r="O7" s="2" t="n"/>
      <c r="P7" s="2" t="n"/>
      <c r="Q7" s="2" t="n"/>
    </row>
    <row r="8" ht="63" customHeight="1" s="20">
      <c r="A8" s="7" t="n"/>
      <c r="B8" s="31" t="inlineStr">
        <is>
          <t>Wired 12 V siren on CCU relay output</t>
        </is>
      </c>
      <c r="C8" s="13" t="n">
        <v>5</v>
      </c>
      <c r="D8" s="13" t="n">
        <v>5</v>
      </c>
      <c r="E8" s="13" t="n">
        <v>3</v>
      </c>
      <c r="F8" s="13" t="n">
        <v>2</v>
      </c>
      <c r="G8" s="13" t="n">
        <v>4</v>
      </c>
      <c r="H8" s="13" t="n">
        <v>5</v>
      </c>
      <c r="I8" s="32">
        <f>SUMPRODUCT(C8:H8,$C$5:$H$5)/100</f>
        <v/>
      </c>
      <c r="J8" s="2" t="n"/>
      <c r="K8" s="11" t="n"/>
      <c r="L8" s="2" t="n"/>
      <c r="M8" s="2" t="n"/>
      <c r="N8" s="2" t="n"/>
      <c r="O8" s="2" t="n"/>
      <c r="P8" s="2" t="n"/>
      <c r="Q8" s="2" t="n"/>
    </row>
    <row r="9" ht="63" customHeight="1" s="20">
      <c r="A9" s="7" t="n"/>
      <c r="B9" s="31" t="inlineStr">
        <is>
          <t>Wi-Fi siren</t>
        </is>
      </c>
      <c r="C9" s="13" t="n">
        <v>3</v>
      </c>
      <c r="D9" s="13" t="n">
        <v>1</v>
      </c>
      <c r="E9" s="13" t="n">
        <v>3</v>
      </c>
      <c r="F9" s="13" t="n">
        <v>4</v>
      </c>
      <c r="G9" s="13" t="n">
        <v>2</v>
      </c>
      <c r="H9" s="13" t="n">
        <v>2</v>
      </c>
      <c r="I9" s="33">
        <f>SUMPRODUCT(C9:H9,$C$5:$H$5)/100</f>
        <v/>
      </c>
      <c r="J9" s="2" t="n"/>
      <c r="K9" s="11" t="n"/>
      <c r="L9" s="2" t="n"/>
      <c r="M9" s="2" t="n"/>
      <c r="N9" s="2" t="n"/>
      <c r="O9" s="2" t="n"/>
      <c r="P9" s="2" t="n"/>
      <c r="Q9" s="2" t="n"/>
    </row>
    <row r="10">
      <c r="A10" s="2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2" t="n"/>
      <c r="L10" s="2" t="n"/>
      <c r="M10" s="2" t="n"/>
      <c r="N10" s="2" t="n"/>
      <c r="O10" s="2" t="n"/>
      <c r="P10" s="2" t="n"/>
      <c r="Q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</row>
    <row r="13" ht="150" customHeight="1" s="20">
      <c r="A13" s="2" t="n"/>
      <c r="B13" s="34" t="inlineStr">
        <is>
          <t>Final decision:</t>
        </is>
      </c>
      <c r="C13" s="35" t="inlineStr">
        <is>
          <t>Selected: Option 2 – Wired 12 V siren on a CCU relay output, as the primary outdoor sounder. It scores highest on the two heaviest criteria – loudness (110+ dB outdoor siren with strobe) and reliability during a power or Wi-Fi outage – because it is driven directly by the battery-backed CCU through an end-of-line supervised, tamper-protected loop. The Zigbee indoor siren scored almost as high thanks to its easy installation and native hub fit, so the system uses BOTH: a Zigbee indoor siren for in-home alerting plus a wired 12 V outdoor siren + strobe for deterrence and neighbour notification. The Wi-Fi siren is rejected because it falls silent exactly when the network fails.</t>
        </is>
      </c>
      <c r="D13" s="26" t="n"/>
      <c r="E13" s="26" t="n"/>
      <c r="F13" s="26" t="n"/>
      <c r="G13" s="26" t="n"/>
      <c r="H13" s="26" t="n"/>
      <c r="I13" s="27" t="n"/>
      <c r="J13" s="2" t="n"/>
      <c r="K13" s="2" t="n"/>
      <c r="L13" s="2" t="n"/>
      <c r="M13" s="2" t="n"/>
      <c r="N13" s="2" t="n"/>
      <c r="O13" s="2" t="n"/>
      <c r="P13" s="2" t="n"/>
      <c r="Q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</row>
  </sheetData>
  <mergeCells count="2">
    <mergeCell ref="B4:I4"/>
    <mergeCell ref="C13:I13"/>
  </mergeCells>
  <pageMargins left="0.75" right="0.75" top="1" bottom="1" header="0.5" footer="0.5"/>
  <pageSetup orientation="landscape" fitToHeight="1" fitToWidth="1"/>
</worksheet>
</file>

<file path=xl/worksheets/sheet9.xml><?xml version="1.0" encoding="utf-8"?>
<worksheet xmlns="http://schemas.openxmlformats.org/spreadsheetml/2006/main">
  <sheetPr>
    <outlinePr summaryBelow="0" summaryRight="0"/>
    <pageSetUpPr fitToPage="1"/>
  </sheetPr>
  <dimension ref="A1:AA50"/>
  <sheetViews>
    <sheetView workbookViewId="0">
      <selection activeCell="A1" sqref="A1"/>
    </sheetView>
  </sheetViews>
  <sheetFormatPr baseColWidth="8" defaultColWidth="12.63" defaultRowHeight="15.75" customHeight="1"/>
  <cols>
    <col width="16.13" customWidth="1" style="20" min="1" max="1"/>
    <col width="30" customWidth="1" style="20" min="2" max="2"/>
    <col width="17" customWidth="1" style="20" min="3" max="3"/>
    <col width="17" customWidth="1" style="20" min="4" max="10"/>
    <col width="17" customWidth="1" style="20" min="5" max="5"/>
    <col width="17" customWidth="1" style="20" min="6" max="6"/>
    <col width="17" customWidth="1" style="20" min="7" max="7"/>
    <col width="17" customWidth="1" style="20" min="8" max="8"/>
    <col width="17" customWidth="1" style="20" min="9" max="9"/>
    <col width="17" customWidth="1" style="20" min="10" max="10"/>
    <col width="17" customWidth="1" style="20" min="11" max="11"/>
  </cols>
  <sheetData>
    <row r="1" ht="29.25" customHeight="1" s="20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17.25" customHeight="1" s="20">
      <c r="A2" s="2" t="n"/>
      <c r="B2" s="2" t="inlineStr">
        <is>
          <t>Scores: 1 (worst) – 5 (best). Weighted total = Σ score × weight / 100 (max 5.00)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2" t="n"/>
      <c r="B4" s="25" t="inlineStr">
        <is>
          <t>Decision Matrix for Server - Local vs Cloud</t>
        </is>
      </c>
      <c r="C4" s="26" t="n"/>
      <c r="D4" s="26" t="n"/>
      <c r="E4" s="26" t="n"/>
      <c r="F4" s="26" t="n"/>
      <c r="G4" s="26" t="n"/>
      <c r="H4" s="26" t="n"/>
      <c r="I4" s="26" t="n"/>
      <c r="J4" s="26" t="n"/>
      <c r="K4" s="26" t="n"/>
      <c r="L4" s="27" t="n"/>
      <c r="M4" s="2" t="n"/>
      <c r="N4" s="2" t="n"/>
      <c r="O4" s="2" t="n"/>
      <c r="P4" s="2" t="n"/>
      <c r="Q4" s="2" t="n"/>
    </row>
    <row r="5">
      <c r="A5" s="2" t="n"/>
      <c r="B5" s="28" t="inlineStr">
        <is>
          <t>Weight %</t>
        </is>
      </c>
      <c r="C5" s="29" t="n">
        <v>10</v>
      </c>
      <c r="D5" s="29" t="n">
        <v>20</v>
      </c>
      <c r="E5" s="29" t="n">
        <v>15</v>
      </c>
      <c r="F5" s="29" t="n">
        <v>10</v>
      </c>
      <c r="G5" s="29" t="n">
        <v>5</v>
      </c>
      <c r="H5" s="29" t="n">
        <v>10</v>
      </c>
      <c r="I5" s="29" t="n">
        <v>5</v>
      </c>
      <c r="J5" s="29" t="n">
        <v>10</v>
      </c>
      <c r="K5" s="36" t="n">
        <v>15</v>
      </c>
      <c r="L5" s="2" t="n"/>
      <c r="M5" s="2" t="n"/>
      <c r="N5" s="2" t="n"/>
      <c r="O5" s="2" t="n"/>
      <c r="P5" s="2" t="n"/>
      <c r="Q5" s="2" t="n"/>
    </row>
    <row r="6" ht="80" customHeight="1" s="20">
      <c r="A6" s="7" t="n"/>
      <c r="B6" s="8" t="inlineStr">
        <is>
          <t>Alternatives</t>
        </is>
      </c>
      <c r="C6" s="30" t="inlineStr">
        <is>
          <t>Alarm response latency
[10%]</t>
        </is>
      </c>
      <c r="D6" s="30" t="inlineStr">
        <is>
          <t>Reliability / operation during internet outage
[20%]</t>
        </is>
      </c>
      <c r="E6" s="30" t="inlineStr">
        <is>
          <t>Privacy / data sovereignty
[15%]</t>
        </is>
      </c>
      <c r="F6" s="30" t="inlineStr">
        <is>
          <t>Remote access convenience
[10%]</t>
        </is>
      </c>
      <c r="G6" s="30" t="inlineStr">
        <is>
          <t>Upfront cost
[5%]</t>
        </is>
      </c>
      <c r="H6" s="30" t="inlineStr">
        <is>
          <t>Recurring cost (5-year TCO)
[10%]</t>
        </is>
      </c>
      <c r="I6" s="30" t="inlineStr">
        <is>
          <t>Scalability
[5%]</t>
        </is>
      </c>
      <c r="J6" s="30" t="inlineStr">
        <is>
          <t>Maintenance burden
[10%]</t>
        </is>
      </c>
      <c r="K6" s="30" t="inlineStr">
        <is>
          <t>Security attack surface
[15%]</t>
        </is>
      </c>
      <c r="L6" s="10" t="inlineStr">
        <is>
          <t>Total Score</t>
        </is>
      </c>
      <c r="M6" s="2" t="n"/>
      <c r="N6" s="2" t="n"/>
      <c r="O6" s="2" t="n"/>
      <c r="P6" s="2" t="n"/>
      <c r="Q6" s="2" t="n"/>
    </row>
    <row r="7" ht="63" customHeight="1" s="20">
      <c r="A7" s="7" t="n"/>
      <c r="B7" s="31" t="inlineStr">
        <is>
          <t>Local-only server (on-premises mini PC, no cloud)</t>
        </is>
      </c>
      <c r="C7" s="13" t="n">
        <v>5</v>
      </c>
      <c r="D7" s="13" t="n">
        <v>4</v>
      </c>
      <c r="E7" s="13" t="n">
        <v>5</v>
      </c>
      <c r="F7" s="13" t="n">
        <v>1</v>
      </c>
      <c r="G7" s="13" t="n">
        <v>2</v>
      </c>
      <c r="H7" s="13" t="n">
        <v>5</v>
      </c>
      <c r="I7" s="13" t="n">
        <v>3</v>
      </c>
      <c r="J7" s="13" t="n">
        <v>2</v>
      </c>
      <c r="K7" s="13" t="n">
        <v>4</v>
      </c>
      <c r="L7" s="33">
        <f>SUMPRODUCT(C7:K7,$C$5:$K$5)/100</f>
        <v/>
      </c>
      <c r="M7" s="2" t="n"/>
      <c r="N7" s="2" t="n"/>
      <c r="O7" s="2" t="n"/>
      <c r="P7" s="2" t="n"/>
      <c r="Q7" s="2" t="n"/>
    </row>
    <row r="8" ht="63" customHeight="1" s="20">
      <c r="A8" s="7" t="n"/>
      <c r="B8" s="31" t="inlineStr">
        <is>
          <t>Cloud-only (all logic and storage in vendor cloud, dumb hub)</t>
        </is>
      </c>
      <c r="C8" s="13" t="n">
        <v>2</v>
      </c>
      <c r="D8" s="13" t="n">
        <v>1</v>
      </c>
      <c r="E8" s="13" t="n">
        <v>1</v>
      </c>
      <c r="F8" s="13" t="n">
        <v>5</v>
      </c>
      <c r="G8" s="13" t="n">
        <v>5</v>
      </c>
      <c r="H8" s="13" t="n">
        <v>1</v>
      </c>
      <c r="I8" s="13" t="n">
        <v>5</v>
      </c>
      <c r="J8" s="13" t="n">
        <v>5</v>
      </c>
      <c r="K8" s="13" t="n">
        <v>2</v>
      </c>
      <c r="L8" s="33">
        <f>SUMPRODUCT(C8:K8,$C$5:$K$5)/100</f>
        <v/>
      </c>
      <c r="M8" s="2" t="n"/>
      <c r="N8" s="2" t="n"/>
      <c r="O8" s="2" t="n"/>
      <c r="P8" s="2" t="n"/>
      <c r="Q8" s="2" t="n"/>
    </row>
    <row r="9" ht="63" customHeight="1" s="20">
      <c r="A9" s="7" t="n"/>
      <c r="B9" s="31" t="inlineStr">
        <is>
          <t>Hybrid: local-first server + cloud relay (remote access, push, backup)</t>
        </is>
      </c>
      <c r="C9" s="13" t="n">
        <v>5</v>
      </c>
      <c r="D9" s="13" t="n">
        <v>5</v>
      </c>
      <c r="E9" s="13" t="n">
        <v>4</v>
      </c>
      <c r="F9" s="13" t="n">
        <v>5</v>
      </c>
      <c r="G9" s="13" t="n">
        <v>2</v>
      </c>
      <c r="H9" s="13" t="n">
        <v>3</v>
      </c>
      <c r="I9" s="13" t="n">
        <v>4</v>
      </c>
      <c r="J9" s="13" t="n">
        <v>3</v>
      </c>
      <c r="K9" s="13" t="n">
        <v>3</v>
      </c>
      <c r="L9" s="32">
        <f>SUMPRODUCT(C9:K9,$C$5:$K$5)/100</f>
        <v/>
      </c>
      <c r="M9" s="2" t="n"/>
      <c r="N9" s="2" t="n"/>
      <c r="O9" s="2" t="n"/>
      <c r="P9" s="2" t="n"/>
      <c r="Q9" s="2" t="n"/>
    </row>
    <row r="10">
      <c r="A10" s="2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2" t="n"/>
      <c r="L10" s="2" t="n"/>
      <c r="M10" s="2" t="n"/>
      <c r="N10" s="2" t="n"/>
      <c r="O10" s="2" t="n"/>
      <c r="P10" s="2" t="n"/>
      <c r="Q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</row>
    <row r="13" ht="230" customHeight="1" s="20">
      <c r="A13" s="2" t="n"/>
      <c r="B13" s="34" t="inlineStr">
        <is>
          <t>Final decision:</t>
        </is>
      </c>
      <c r="C13" s="35" t="inlineStr">
        <is>
          <t>Selected: Option 3 – Hybrid: local-first server with a thin cloud relay. All alarm logic, sensor processing, automations and video recording run on the on-premises server, so alarm response latency and operation during an internet outage are as good as the local-only design and far better than cloud-only, where the home is unprotected the moment the ISP link drops. The cloud component is deliberately minimal: an outbound-only, TLS-encrypted relay for remote app access and push notifications, plus an encrypted off-site backup of configuration and event logs. This keeps personal data and video inside the home (privacy 4/5 versus 1/5 for a vendor cloud), avoids inbound port forwarding (a smaller attack surface than a home-exposed local server), and keeps recurring cost low because no video is stored in the cloud. Local-only was a close second but fails on remote access convenience – a user-configured VPN with no push notifications is not acceptable for a consumer security product – and has no off-site backup if the server is stolen or destroyed. Cloud-only wins on upfront cost, maintenance and scalability but is rejected on the highest-weighted criteria: outage reliability, privacy, recurring 5-year cost and attack surface.</t>
        </is>
      </c>
      <c r="D13" s="26" t="n"/>
      <c r="E13" s="26" t="n"/>
      <c r="F13" s="26" t="n"/>
      <c r="G13" s="26" t="n"/>
      <c r="H13" s="26" t="n"/>
      <c r="I13" s="26" t="n"/>
      <c r="J13" s="26" t="n"/>
      <c r="K13" s="26" t="n"/>
      <c r="L13" s="27" t="n"/>
      <c r="M13" s="2" t="n"/>
      <c r="N13" s="2" t="n"/>
      <c r="O13" s="2" t="n"/>
      <c r="P13" s="2" t="n"/>
      <c r="Q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</row>
  </sheetData>
  <mergeCells count="2">
    <mergeCell ref="B4:L4"/>
    <mergeCell ref="C13:L13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2026-10-27T10:17:17Z</dcterms:created>
  <dcterms:modified xmlns:dcterms="http://purl.org/dc/terms/" xmlns:xsi="http://www.w3.org/2001/XMLSchema-instance" xsi:type="dcterms:W3CDTF">2026-10-27T10:17:17Z</dcterms:modified>
</cp:coreProperties>
</file>